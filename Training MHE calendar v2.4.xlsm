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exertisgroup.sharepoint.com/sites/UK-Facilities/Shared Documents/General/1.0 Facilities/Burnley/Michael Vessa Personal Folder/My Folder/Projects/2025/P1-MHE Management/Chris Version/"/>
    </mc:Choice>
  </mc:AlternateContent>
  <xr:revisionPtr revIDLastSave="2094" documentId="8_{051A63D0-9719-4AA8-BD79-51F5B2AE9415}" xr6:coauthVersionLast="47" xr6:coauthVersionMax="47" xr10:uidLastSave="{B40AFFFC-D16B-48E4-83E9-47138E4CB530}"/>
  <bookViews>
    <workbookView xWindow="-14100" yWindow="-16635" windowWidth="29040" windowHeight="15720" activeTab="2" xr2:uid="{7E7F7555-EFD7-4C49-B2BA-87FF11785F95}"/>
  </bookViews>
  <sheets>
    <sheet name="Settings" sheetId="4" r:id="rId1"/>
    <sheet name="Dashboard" sheetId="1" r:id="rId2"/>
    <sheet name="Calendar" sheetId="10" r:id="rId3"/>
    <sheet name="Sheet1" sheetId="11" r:id="rId4"/>
    <sheet name="Training_Log" sheetId="2" r:id="rId5"/>
    <sheet name="Trainer workload report" sheetId="6" state="hidden" r:id="rId6"/>
  </sheets>
  <definedNames>
    <definedName name="_xlnm._FilterDatabase" localSheetId="4" hidden="1">Training_Log!$A$2:$AI$2</definedName>
    <definedName name="_xleta.T" hidden="1" xlm="1">#NAME?</definedName>
    <definedName name="calendar" localSheetId="2">Calendar!daygrid+Calendar!firstdate-WEEKDAY(Calendar!firstdate)-Calendar!weekday_option</definedName>
    <definedName name="Course_Type">OFFSET(Settings!$E$2:$E$16,,,COUNTA(Settings!$E$2:$E$16),1)</definedName>
    <definedName name="daygrid" localSheetId="2">Calendar!days+Calendar!weeks*7</definedName>
    <definedName name="daypattern" localSheetId="2">{1,1,2,2,3,3,4,4,5,5,6,6,7}</definedName>
    <definedName name="days" localSheetId="2">{0,1,2,3,4,5,6}</definedName>
    <definedName name="DayToStart" localSheetId="2">Calendar!$E$1</definedName>
    <definedName name="firstdate" localSheetId="2">DATE(Calendar!YearToDisplay,Calendar!month,1)</definedName>
    <definedName name="month" localSheetId="2">MATCH(Calendar!MonthToDisplay,Calendar!months,0)</definedName>
    <definedName name="month">MATCH([0]!MonthToDisplay,months,0)</definedName>
    <definedName name="months" localSheetId="2">{"January","February","March","April","May","June","July","August","September","October","November","December"}</definedName>
    <definedName name="months">{"January","February","March","April","May","June","July","August","September","October","November","December"}</definedName>
    <definedName name="MonthToDisplay" localSheetId="2">Calendar!$C$1</definedName>
    <definedName name="MonthToDisplayNumber" localSheetId="2">MATCH(Calendar!MonthToDisplay,Calendar!months,0)</definedName>
    <definedName name="MonthToDisplayNumber">MATCH(Calendar!MonthToDisplay,months,0)</definedName>
    <definedName name="ndx" localSheetId="2">ROUNDUP(MATCH(2,1/FREQUENCY(DATE(Calendar!YearToDisplay,Calendar!MonthToDisplayNumber,1),Calendar!calendar))/7,0)</definedName>
    <definedName name="_xlnm.Print_Titles" localSheetId="2">Calendar!$3:$3</definedName>
    <definedName name="Result_List">OFFSET(Settings!$H$2:$H$16,,,COUNTA(Settings!$H$2:$H$16),1)</definedName>
    <definedName name="startdate" localSheetId="2">DATE(Calendar!YearToDisplay,Calendar!month,1)</definedName>
    <definedName name="Trainees_Names_List">OFFSET(Settings!$I$2:$I$400,,,COUNTA(Settings!$I$2:$I$400),1)</definedName>
    <definedName name="Trainer_List">OFFSET(Settings!$G$2:$G$16,,,COUNTA(Settings!$G$2:$G$16),1)</definedName>
    <definedName name="Truck_Type">OFFSET(Settings!$F$2:$F$16,,,COUNTA(Settings!$F$2:$F$16),1)</definedName>
    <definedName name="weekday_option" localSheetId="2">MATCH(Calendar!DayToStart,Calendar!weekdays_reversed,0)-2</definedName>
    <definedName name="weekday_option">MATCH(DayToStart,weekdays_reversed,0)-2</definedName>
    <definedName name="weekdays" localSheetId="2">{"Monday","Tuesday","Wednesday","Thursday","Friday","Saturday","Sunday"}</definedName>
    <definedName name="weekdays">{"Monday","Tuesday","Wednesday","Thursday","Friday","Saturday","Sunday"}</definedName>
    <definedName name="weekdays_reversed" localSheetId="2">{"Sunday","Saturday","Friday","Thursday","Wednesday","Tuesday","Monday"}</definedName>
    <definedName name="weekdays_reversed">{"Sunday","Saturday","Friday","Thursday","Wednesday","Tuesday","Monday"}</definedName>
    <definedName name="weeks" localSheetId="2">{0;1;2;3;4;5;6}</definedName>
    <definedName name="weeks">{0;1;2;3;4;5;6}</definedName>
    <definedName name="YearToDisplay" localSheetId="2">Calendar!$B$1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0" l="1"/>
  <c r="K7" i="11" a="1"/>
  <c r="K7" i="11" s="1"/>
  <c r="K5" i="11"/>
  <c r="K3" i="11" a="1"/>
  <c r="K3" i="11" s="1"/>
  <c r="J12" i="11" a="1"/>
  <c r="J12" i="11" s="1"/>
  <c r="B12" i="11" a="1"/>
  <c r="B12" i="11" s="1"/>
  <c r="B3" i="11" a="1"/>
  <c r="B3" i="11" s="1"/>
  <c r="B4" i="4"/>
  <c r="B5" i="4"/>
  <c r="B6" i="4"/>
  <c r="B14" i="10" l="1" a="1"/>
  <c r="H14" i="10" s="1"/>
  <c r="B12" i="10" a="1"/>
  <c r="H12" i="10" s="1"/>
  <c r="B10" i="10" a="1"/>
  <c r="H10" i="10" s="1"/>
  <c r="B8" i="10" a="1"/>
  <c r="H8" i="10" s="1"/>
  <c r="B6" i="10" a="1"/>
  <c r="H6" i="10" s="1"/>
  <c r="B4" i="10" a="1"/>
  <c r="H4" i="10" s="1"/>
  <c r="B3" i="10" a="1"/>
  <c r="H3" i="10" s="1"/>
  <c r="B3" i="10" l="1"/>
  <c r="B4" i="10"/>
  <c r="B6" i="10"/>
  <c r="B8" i="10"/>
  <c r="B10" i="10"/>
  <c r="B12" i="10"/>
  <c r="B14" i="10"/>
  <c r="C3" i="10"/>
  <c r="C4" i="10"/>
  <c r="C6" i="10"/>
  <c r="C8" i="10"/>
  <c r="C10" i="10"/>
  <c r="C12" i="10"/>
  <c r="C14" i="10"/>
  <c r="E14" i="10"/>
  <c r="D3" i="10"/>
  <c r="D4" i="10"/>
  <c r="D6" i="10"/>
  <c r="D8" i="10"/>
  <c r="D10" i="10"/>
  <c r="D12" i="10"/>
  <c r="D14" i="10"/>
  <c r="E3" i="10"/>
  <c r="E4" i="10"/>
  <c r="E6" i="10"/>
  <c r="E8" i="10"/>
  <c r="E10" i="10"/>
  <c r="E12" i="10"/>
  <c r="F3" i="10"/>
  <c r="F4" i="10"/>
  <c r="F6" i="10"/>
  <c r="F8" i="10"/>
  <c r="F10" i="10"/>
  <c r="F12" i="10"/>
  <c r="F14" i="10"/>
  <c r="G3" i="10"/>
  <c r="G4" i="10"/>
  <c r="G6" i="10"/>
  <c r="G8" i="10"/>
  <c r="G10" i="10"/>
  <c r="G12" i="10"/>
  <c r="G1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<sst xmlns="http://schemas.openxmlformats.org/spreadsheetml/2006/main" count="226" uniqueCount="80">
  <si>
    <t>Course Number</t>
  </si>
  <si>
    <t>Truck type</t>
  </si>
  <si>
    <t>Trainer</t>
  </si>
  <si>
    <t>Start Date</t>
  </si>
  <si>
    <t>End Date</t>
  </si>
  <si>
    <t>Start Time</t>
  </si>
  <si>
    <t>Department</t>
  </si>
  <si>
    <t>Theory Result</t>
  </si>
  <si>
    <t>Theory %</t>
  </si>
  <si>
    <t>Practical %</t>
  </si>
  <si>
    <t>Pre-op Result</t>
  </si>
  <si>
    <t>Attempts</t>
  </si>
  <si>
    <t>Practical Result</t>
  </si>
  <si>
    <t>Course Type</t>
  </si>
  <si>
    <t>Certificate Number</t>
  </si>
  <si>
    <t>Chris Whitter</t>
  </si>
  <si>
    <t>Last certificate No</t>
  </si>
  <si>
    <t>Row Labels</t>
  </si>
  <si>
    <t>Grand Total</t>
  </si>
  <si>
    <t>Count of Trainee Name</t>
  </si>
  <si>
    <t>Sum of Certificate Number</t>
  </si>
  <si>
    <t>(All)</t>
  </si>
  <si>
    <t>MONDAY</t>
  </si>
  <si>
    <t>Novice</t>
  </si>
  <si>
    <t>VNA</t>
  </si>
  <si>
    <t>MATCH(UPPER($C$1),{"JANUARY","FEBRUARY","MARCH","APRIL","MAY","JUNE","JULY","AUGUST","SEPTEMBER","OCTOBER","NOVEMBER","DECEMBER"},0)</t>
  </si>
  <si>
    <t>Trainee Name 1</t>
  </si>
  <si>
    <t>Trainee Name 2</t>
  </si>
  <si>
    <t>Trainee Name 3</t>
  </si>
  <si>
    <t>ID</t>
  </si>
  <si>
    <t>Detail</t>
  </si>
  <si>
    <t>selected item row #</t>
  </si>
  <si>
    <t>Last Update</t>
  </si>
  <si>
    <t>Christopher</t>
  </si>
  <si>
    <t>Updated on:</t>
  </si>
  <si>
    <t>Booking month</t>
  </si>
  <si>
    <t>Booking Day</t>
  </si>
  <si>
    <t>Booking Year</t>
  </si>
  <si>
    <t>Experienced</t>
  </si>
  <si>
    <t>Refresher</t>
  </si>
  <si>
    <t>After accident/incident Refresher</t>
  </si>
  <si>
    <t>Targetted refresher</t>
  </si>
  <si>
    <t>Truck Type</t>
  </si>
  <si>
    <t>Counterbalance</t>
  </si>
  <si>
    <t>Reach truck</t>
  </si>
  <si>
    <t>LLOP</t>
  </si>
  <si>
    <t>PPT</t>
  </si>
  <si>
    <t>ROPPT</t>
  </si>
  <si>
    <t>Battery changer</t>
  </si>
  <si>
    <t>OFFSET(Settings!$E$2:$E$16,,,COUNTA(Settings!$E$2:$E$16),1)</t>
  </si>
  <si>
    <t>OFFSET(Settings!$F$2:$F$16,,,COUNTA(Settings!$F$2:$F$16),1)</t>
  </si>
  <si>
    <t>formula for validation Course Type</t>
  </si>
  <si>
    <t>formula for validation Course Truck Type</t>
  </si>
  <si>
    <t xml:space="preserve"> </t>
  </si>
  <si>
    <t>Chris.W</t>
  </si>
  <si>
    <t>Michael Vessa</t>
  </si>
  <si>
    <t>Facilities</t>
  </si>
  <si>
    <t>Result</t>
  </si>
  <si>
    <t>PASS</t>
  </si>
  <si>
    <t>HOLD</t>
  </si>
  <si>
    <t>FAIL</t>
  </si>
  <si>
    <t>Names</t>
  </si>
  <si>
    <t>Add new Trainee</t>
  </si>
  <si>
    <t>Tomas Vessa</t>
  </si>
  <si>
    <t>January</t>
  </si>
  <si>
    <t>Day Grid</t>
  </si>
  <si>
    <t>firstdate</t>
  </si>
  <si>
    <t>Weekday_option</t>
  </si>
  <si>
    <t>weekdays_reversed</t>
  </si>
  <si>
    <t>8:00 / Novice
Michael Vessa
Tomas Vessa
Michael Vessa</t>
  </si>
  <si>
    <t>Driver Central</t>
  </si>
  <si>
    <t>Operations</t>
  </si>
  <si>
    <t>Barry Robinson</t>
  </si>
  <si>
    <t>Alex Harrison</t>
  </si>
  <si>
    <t xml:space="preserve">6:00 / Experienced
Alex Harrison
</t>
  </si>
  <si>
    <t>Operation Office</t>
  </si>
  <si>
    <t>BS-004568</t>
  </si>
  <si>
    <t xml:space="preserve">6:00 / Novice
Barry Robinson
</t>
  </si>
  <si>
    <t>Waiting Result</t>
  </si>
  <si>
    <t xml:space="preserve">9:00 / Novice
Chris Whitter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</si>
</sst>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400]h:mm:ss\ AM/PM"/>
    <numFmt numFmtId="165" formatCode="[$-409]d\-mmm\-yy;@"/>
    <numFmt numFmtId="166" formatCode="h:mm;@"/>
    <numFmt numFmtId="167" formatCode="dd"/>
    <numFmt numFmtId="168" formatCode="aaaa"/>
    <numFmt numFmtId="169" formatCode="[$-F800]dddd\,\ mmmm\ dd\,\ yyyy"/>
    <numFmt numFmtId="170" formatCode="d/m/yy;@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1"/>
      <color theme="1"/>
      <name val="Aptos Display"/>
      <family val="2"/>
      <scheme val="major"/>
    </font>
    <font>
      <sz val="12"/>
      <color theme="1"/>
      <name val="Aptos Display"/>
      <family val="2"/>
      <scheme val="major"/>
    </font>
    <font>
      <sz val="11"/>
      <color theme="1" tint="0.34998626667073579"/>
      <name val="Aptos Narrow"/>
      <family val="2"/>
      <scheme val="minor"/>
    </font>
    <font>
      <sz val="32"/>
      <color theme="3"/>
      <name val="Aptos Display"/>
      <family val="2"/>
      <scheme val="major"/>
    </font>
    <font>
      <sz val="32"/>
      <color theme="4" tint="-0.24994659260841701"/>
      <name val="Aptos Display"/>
      <family val="2"/>
      <scheme val="major"/>
    </font>
    <font>
      <sz val="8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1"/>
      <color theme="1"/>
      <name val="Aptos Display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1" tint="0.14996795556505021"/>
      </top>
      <bottom/>
      <diagonal/>
    </border>
    <border>
      <left/>
      <right/>
      <top/>
      <bottom style="medium">
        <color theme="1" tint="0.1499679555650502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1" tint="0.14996795556505021"/>
      </bottom>
      <diagonal/>
    </border>
    <border>
      <left/>
      <right/>
      <top style="thick">
        <color theme="1" tint="0.149967955565050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0">
    <xf numFmtId="0" fontId="0" fillId="0" borderId="0"/>
    <xf numFmtId="0" fontId="2" fillId="0" borderId="0" applyBorder="0">
      <alignment vertical="top"/>
    </xf>
    <xf numFmtId="0" fontId="3" fillId="0" borderId="1">
      <alignment vertical="top" wrapText="1"/>
    </xf>
    <xf numFmtId="167" fontId="4" fillId="0" borderId="2" applyFill="0" applyProtection="0">
      <alignment horizontal="right" vertical="center" indent="1"/>
    </xf>
    <xf numFmtId="168" fontId="5" fillId="0" borderId="5" applyFill="0" applyProtection="0">
      <alignment horizontal="center" vertical="center"/>
    </xf>
    <xf numFmtId="0" fontId="6" fillId="0" borderId="0" applyFill="0" applyBorder="0" applyProtection="0">
      <alignment horizontal="right" vertical="top"/>
    </xf>
    <xf numFmtId="0" fontId="6" fillId="0" borderId="0" applyNumberFormat="0" applyFill="0" applyBorder="0" applyProtection="0">
      <alignment vertical="top"/>
    </xf>
    <xf numFmtId="0" fontId="4" fillId="0" borderId="0" applyNumberFormat="0" applyProtection="0">
      <alignment horizontal="right"/>
    </xf>
    <xf numFmtId="0" fontId="7" fillId="0" borderId="0" applyProtection="0">
      <alignment horizontal="left"/>
    </xf>
    <xf numFmtId="0" fontId="8" fillId="0" borderId="0" applyNumberFormat="0" applyProtection="0">
      <alignment horizontal="left"/>
    </xf>
  </cellStyleXfs>
  <cellXfs count="10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1">
      <alignment vertical="top"/>
    </xf>
    <xf numFmtId="0" fontId="0" fillId="0" borderId="1" xfId="2" applyFont="1">
      <alignment vertical="top" wrapText="1"/>
    </xf>
    <xf numFmtId="167" fontId="4" fillId="0" borderId="3" xfId="3" applyBorder="1">
      <alignment horizontal="right" vertical="center" indent="1"/>
    </xf>
    <xf numFmtId="167" fontId="4" fillId="0" borderId="4" xfId="3" applyBorder="1">
      <alignment horizontal="right" vertical="center" indent="1"/>
    </xf>
    <xf numFmtId="168" fontId="5" fillId="0" borderId="5" xfId="4">
      <alignment horizontal="center" vertical="center"/>
    </xf>
    <xf numFmtId="0" fontId="6" fillId="0" borderId="0" xfId="5">
      <alignment horizontal="right" vertical="top"/>
    </xf>
    <xf numFmtId="0" fontId="6" fillId="0" borderId="0" xfId="6">
      <alignment vertical="top"/>
    </xf>
    <xf numFmtId="167" fontId="4" fillId="0" borderId="4" xfId="3" applyBorder="1" applyAlignment="1">
      <alignment horizontal="right" vertical="center" wrapText="1" indent="1"/>
    </xf>
    <xf numFmtId="167" fontId="4" fillId="0" borderId="3" xfId="3" applyBorder="1" applyAlignment="1">
      <alignment horizontal="right" vertical="center" wrapText="1" indent="1"/>
    </xf>
    <xf numFmtId="0" fontId="2" fillId="4" borderId="0" xfId="1" applyFill="1">
      <alignment vertical="top"/>
    </xf>
    <xf numFmtId="0" fontId="2" fillId="0" borderId="0" xfId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20" fontId="2" fillId="0" borderId="0" xfId="1" applyNumberFormat="1" applyAlignment="1">
      <alignment horizontal="center" vertical="center"/>
    </xf>
    <xf numFmtId="167" fontId="4" fillId="0" borderId="7" xfId="3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 wrapText="1"/>
    </xf>
    <xf numFmtId="166" fontId="0" fillId="0" borderId="8" xfId="0" applyNumberFormat="1" applyBorder="1" applyAlignment="1">
      <alignment horizontal="center" vertical="center" wrapText="1"/>
    </xf>
    <xf numFmtId="0" fontId="2" fillId="0" borderId="1" xfId="2" applyFont="1">
      <alignment vertical="top" wrapText="1"/>
    </xf>
    <xf numFmtId="167" fontId="4" fillId="0" borderId="8" xfId="3" applyBorder="1" applyAlignment="1">
      <alignment horizontal="center" vertical="center"/>
    </xf>
    <xf numFmtId="0" fontId="0" fillId="0" borderId="0" xfId="1" applyFont="1" applyAlignment="1">
      <alignment horizontal="center" vertical="center"/>
    </xf>
    <xf numFmtId="0" fontId="2" fillId="2" borderId="0" xfId="1" applyFill="1" applyAlignment="1">
      <alignment horizontal="center" vertical="center"/>
    </xf>
    <xf numFmtId="167" fontId="4" fillId="2" borderId="7" xfId="3" applyFill="1" applyBorder="1" applyAlignment="1">
      <alignment horizontal="center" vertical="center"/>
    </xf>
    <xf numFmtId="0" fontId="2" fillId="4" borderId="0" xfId="1" applyFill="1" applyAlignment="1">
      <alignment horizontal="center" vertical="center"/>
    </xf>
    <xf numFmtId="167" fontId="4" fillId="4" borderId="7" xfId="3" applyFill="1" applyBorder="1" applyAlignment="1">
      <alignment horizontal="center" vertical="center"/>
    </xf>
    <xf numFmtId="0" fontId="2" fillId="5" borderId="0" xfId="1" applyFill="1" applyAlignment="1">
      <alignment horizontal="center" vertical="center"/>
    </xf>
    <xf numFmtId="167" fontId="4" fillId="5" borderId="7" xfId="3" applyFill="1" applyBorder="1" applyAlignment="1">
      <alignment horizontal="center" vertical="center"/>
    </xf>
    <xf numFmtId="0" fontId="2" fillId="5" borderId="8" xfId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4" fillId="0" borderId="0" xfId="3" applyBorder="1" applyAlignment="1">
      <alignment horizontal="center" vertical="center"/>
    </xf>
    <xf numFmtId="14" fontId="0" fillId="0" borderId="0" xfId="1" applyNumberFormat="1" applyFont="1" applyAlignment="1">
      <alignment horizontal="center" vertical="center"/>
    </xf>
    <xf numFmtId="0" fontId="0" fillId="2" borderId="8" xfId="1" applyFont="1" applyFill="1" applyBorder="1" applyAlignment="1">
      <alignment horizontal="center" vertical="center"/>
    </xf>
    <xf numFmtId="0" fontId="0" fillId="2" borderId="0" xfId="1" applyFont="1" applyFill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169" fontId="2" fillId="0" borderId="0" xfId="1" applyNumberFormat="1" applyAlignment="1">
      <alignment vertical="center" textRotation="180"/>
    </xf>
    <xf numFmtId="0" fontId="0" fillId="3" borderId="0" xfId="0" applyFill="1"/>
    <xf numFmtId="1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1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5" xfId="0" applyBorder="1"/>
    <xf numFmtId="0" fontId="0" fillId="0" borderId="16" xfId="0" applyBorder="1"/>
    <xf numFmtId="0" fontId="0" fillId="4" borderId="0" xfId="0" applyFill="1"/>
    <xf numFmtId="164" fontId="0" fillId="4" borderId="0" xfId="0" applyNumberFormat="1" applyFill="1"/>
    <xf numFmtId="0" fontId="0" fillId="3" borderId="9" xfId="0" applyFill="1" applyBorder="1"/>
    <xf numFmtId="0" fontId="0" fillId="3" borderId="11" xfId="0" applyFill="1" applyBorder="1"/>
    <xf numFmtId="0" fontId="0" fillId="3" borderId="19" xfId="0" applyFill="1" applyBorder="1"/>
    <xf numFmtId="0" fontId="1" fillId="3" borderId="19" xfId="0" applyFont="1" applyFill="1" applyBorder="1"/>
    <xf numFmtId="0" fontId="1" fillId="3" borderId="21" xfId="0" applyFont="1" applyFill="1" applyBorder="1"/>
    <xf numFmtId="0" fontId="0" fillId="3" borderId="24" xfId="0" applyFill="1" applyBorder="1"/>
    <xf numFmtId="164" fontId="0" fillId="3" borderId="24" xfId="0" applyNumberFormat="1" applyFill="1" applyBorder="1"/>
    <xf numFmtId="1" fontId="0" fillId="3" borderId="24" xfId="0" applyNumberFormat="1" applyFill="1" applyBorder="1"/>
    <xf numFmtId="0" fontId="0" fillId="3" borderId="25" xfId="0" applyFill="1" applyBorder="1"/>
    <xf numFmtId="0" fontId="1" fillId="3" borderId="23" xfId="0" applyFont="1" applyFill="1" applyBorder="1"/>
    <xf numFmtId="0" fontId="1" fillId="3" borderId="17" xfId="0" applyFont="1" applyFill="1" applyBorder="1"/>
    <xf numFmtId="0" fontId="0" fillId="0" borderId="0" xfId="0" applyAlignment="1">
      <alignment horizontal="left" vertical="top"/>
    </xf>
    <xf numFmtId="14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0" fontId="1" fillId="0" borderId="26" xfId="0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66" fontId="1" fillId="0" borderId="26" xfId="0" applyNumberFormat="1" applyFont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20" fontId="0" fillId="3" borderId="22" xfId="0" applyNumberFormat="1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164" fontId="0" fillId="3" borderId="24" xfId="0" applyNumberFormat="1" applyFill="1" applyBorder="1" applyAlignment="1">
      <alignment horizontal="center" vertical="center"/>
    </xf>
    <xf numFmtId="1" fontId="0" fillId="3" borderId="24" xfId="0" applyNumberFormat="1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169" fontId="0" fillId="3" borderId="20" xfId="0" applyNumberFormat="1" applyFill="1" applyBorder="1" applyAlignment="1">
      <alignment horizontal="center" vertical="center"/>
    </xf>
    <xf numFmtId="0" fontId="0" fillId="3" borderId="23" xfId="0" applyFill="1" applyBorder="1"/>
    <xf numFmtId="167" fontId="11" fillId="0" borderId="7" xfId="3" applyFont="1" applyBorder="1" applyAlignment="1">
      <alignment horizontal="center" vertical="center"/>
    </xf>
    <xf numFmtId="0" fontId="1" fillId="0" borderId="0" xfId="1" applyFont="1" applyAlignment="1">
      <alignment horizontal="center" vertical="center"/>
    </xf>
    <xf numFmtId="167" fontId="11" fillId="2" borderId="7" xfId="3" applyFont="1" applyFill="1" applyBorder="1" applyAlignment="1">
      <alignment horizontal="center" vertical="center"/>
    </xf>
    <xf numFmtId="0" fontId="0" fillId="4" borderId="8" xfId="1" applyFont="1" applyFill="1" applyBorder="1" applyAlignment="1">
      <alignment horizontal="center" vertical="center"/>
    </xf>
    <xf numFmtId="170" fontId="2" fillId="0" borderId="0" xfId="1" applyNumberFormat="1" applyAlignment="1">
      <alignment horizontal="center" vertical="center" textRotation="180"/>
    </xf>
    <xf numFmtId="0" fontId="2" fillId="0" borderId="0" xfId="1" applyAlignment="1">
      <alignment horizontal="center" vertical="center" textRotation="180"/>
    </xf>
    <xf numFmtId="0" fontId="4" fillId="4" borderId="0" xfId="7" applyFill="1" applyAlignment="1">
      <alignment horizontal="center" vertical="center"/>
    </xf>
    <xf numFmtId="0" fontId="8" fillId="4" borderId="0" xfId="9" applyFill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11" xfId="0" applyBorder="1"/>
    <xf numFmtId="0" fontId="0" fillId="0" borderId="27" xfId="0" applyBorder="1"/>
    <xf numFmtId="0" fontId="0" fillId="7" borderId="14" xfId="0" applyFill="1" applyBorder="1" applyAlignment="1">
      <alignment horizontal="center"/>
    </xf>
    <xf numFmtId="0" fontId="0" fillId="2" borderId="16" xfId="0" applyFill="1" applyBorder="1" applyAlignment="1">
      <alignment horizontal="center" vertical="center"/>
    </xf>
    <xf numFmtId="14" fontId="0" fillId="0" borderId="0" xfId="0" applyNumberFormat="1"/>
    <xf numFmtId="0" fontId="7" fillId="4" borderId="0" xfId="8" applyFill="1" applyAlignment="1">
      <alignment horizontal="center" vertical="center"/>
    </xf>
    <xf numFmtId="0" fontId="6" fillId="0" borderId="0" xfId="6" applyNumberFormat="1">
      <alignment vertical="top"/>
    </xf>
    <xf numFmtId="0" fontId="10" fillId="4" borderId="0" xfId="1" applyFont="1" applyFill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5" borderId="8" xfId="1" applyFont="1" applyFill="1" applyBorder="1" applyAlignment="1">
      <alignment horizontal="center" vertical="center"/>
    </xf>
  </cellXfs>
  <cellStyles count="10">
    <cellStyle name="DayDescriptions" xfId="2" xr:uid="{1C3345C9-ED10-4FFA-8FF2-DC7CDE4F0C3F}"/>
    <cellStyle name="Heading 1 2" xfId="9" xr:uid="{60D825AC-7898-4089-87F7-A8235BD545E3}"/>
    <cellStyle name="Heading 2 2" xfId="7" xr:uid="{CBD04F68-0246-445D-81BA-DBB5528BE965}"/>
    <cellStyle name="Heading 3 2" xfId="4" xr:uid="{3A42A827-6C2B-44C9-A764-789ACAE34E17}"/>
    <cellStyle name="Heading 4 2" xfId="3" xr:uid="{0A6F552D-6F2C-4D90-91E7-01C1F2675C5A}"/>
    <cellStyle name="Input Label Left aligned" xfId="6" xr:uid="{8317CA3C-FBF3-4BC9-AF16-C98CA2680D44}"/>
    <cellStyle name="Input Label Right aligned" xfId="5" xr:uid="{6283D1FC-64A9-4747-9112-95B3406C0E2E}"/>
    <cellStyle name="Normal" xfId="0" builtinId="0"/>
    <cellStyle name="Normal 2" xfId="1" xr:uid="{F805DDA2-6207-4068-86E2-85018003A204}"/>
    <cellStyle name="Title 2" xfId="8" xr:uid="{F5E060EC-CB40-4C74-ACDE-CC37590E8498}"/>
  </cellStyles>
  <dxfs count="62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rgb="FFFF0000"/>
        </patternFill>
      </fill>
    </dxf>
    <dxf>
      <fill>
        <patternFill>
          <bgColor theme="2" tint="-0.24994659260841701"/>
        </patternFill>
      </fill>
    </dxf>
    <dxf>
      <fill>
        <patternFill>
          <bgColor rgb="FF00B05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[Training calendar 20261v2.3 beta testing.xlsm]Trainer workload report!PivotTable2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'Trainer workload report'!$B$4</c:f>
              <c:strCache>
                <c:ptCount val="1"/>
                <c:pt idx="0">
                  <c:v>Count of Trainee Name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'Trainer workload report'!$A$5:$A$6</c:f>
              <c:strCache>
                <c:ptCount val="1"/>
                <c:pt idx="0">
                  <c:v>Chris Whitter</c:v>
                </c:pt>
              </c:strCache>
            </c:strRef>
          </c:cat>
          <c:val>
            <c:numRef>
              <c:f>'Trainer workload report'!$B$5:$B$6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D5-4B96-8703-B22F27F115B7}"/>
            </c:ext>
          </c:extLst>
        </c:ser>
        <c:ser>
          <c:idx val="1"/>
          <c:order val="1"/>
          <c:tx>
            <c:strRef>
              <c:f>'Trainer workload report'!$C$4</c:f>
              <c:strCache>
                <c:ptCount val="1"/>
                <c:pt idx="0">
                  <c:v>Sum of Certificate Number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'Trainer workload report'!$A$5:$A$6</c:f>
              <c:strCache>
                <c:ptCount val="1"/>
                <c:pt idx="0">
                  <c:v>Chris Whitter</c:v>
                </c:pt>
              </c:strCache>
            </c:strRef>
          </c:cat>
          <c:val>
            <c:numRef>
              <c:f>'Trainer workload report'!$C$5:$C$6</c:f>
              <c:numCache>
                <c:formatCode>General</c:formatCode>
                <c:ptCount val="1"/>
                <c:pt idx="0">
                  <c:v>1001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D5-4B96-8703-B22F27F11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7789872"/>
        <c:axId val="337780752"/>
      </c:barChart>
      <c:catAx>
        <c:axId val="33778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780752"/>
        <c:crosses val="autoZero"/>
        <c:auto val="1"/>
        <c:lblAlgn val="ctr"/>
        <c:lblOffset val="100"/>
        <c:noMultiLvlLbl val="0"/>
      </c:catAx>
      <c:valAx>
        <c:axId val="33778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78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561975</xdr:colOff>
      <xdr:row>1</xdr:row>
      <xdr:rowOff>114300</xdr:rowOff>
    </xdr:to>
    <xdr:sp macro="" textlink="">
      <xdr:nvSpPr>
        <xdr:cNvPr id="2" name="Button_Detail">
          <a:extLst>
            <a:ext uri="{FF2B5EF4-FFF2-40B4-BE49-F238E27FC236}">
              <a16:creationId xmlns:a16="http://schemas.microsoft.com/office/drawing/2014/main" id="{2F81F1E0-3FB0-4AF4-A237-9E0F19C791A8}"/>
            </a:ext>
          </a:extLst>
        </xdr:cNvPr>
        <xdr:cNvSpPr txBox="1"/>
      </xdr:nvSpPr>
      <xdr:spPr>
        <a:xfrm>
          <a:off x="1695450" y="0"/>
          <a:ext cx="561975" cy="3048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19050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>
              <a:ln>
                <a:noFill/>
              </a:ln>
            </a:rPr>
            <a:t>Detail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16D283A4-4A50-0E1B-13E9-F7FE987F599D}"/>
            </a:ext>
          </a:extLst>
        </xdr:cNvPr>
        <xdr:cNvSpPr/>
      </xdr:nvSpPr>
      <xdr:spPr>
        <a:xfrm>
          <a:off x="0" y="0"/>
          <a:ext cx="7067550" cy="3057525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>
              <a:solidFill>
                <a:schemeClr val="bg1"/>
              </a:solidFill>
            </a:rPr>
            <a:t>BEHIND BLACK</a:t>
          </a:r>
          <a:r>
            <a:rPr lang="en-GB" sz="1600" baseline="0">
              <a:solidFill>
                <a:schemeClr val="bg1"/>
              </a:solidFill>
            </a:rPr>
            <a:t> </a:t>
          </a:r>
          <a:r>
            <a:rPr lang="en-GB" sz="1600">
              <a:solidFill>
                <a:schemeClr val="bg1"/>
              </a:solidFill>
            </a:rPr>
            <a:t>= Main Settings.</a:t>
          </a:r>
          <a:r>
            <a:rPr lang="en-GB" sz="1600" baseline="0">
              <a:solidFill>
                <a:schemeClr val="bg1"/>
              </a:solidFill>
            </a:rPr>
            <a:t> Please Do not Change!</a:t>
          </a:r>
        </a:p>
        <a:p>
          <a:pPr algn="ctr"/>
          <a:r>
            <a:rPr lang="en-GB" sz="1600" baseline="0">
              <a:solidFill>
                <a:schemeClr val="bg1"/>
              </a:solidFill>
            </a:rPr>
            <a:t>email: vessartrk@gmail.com or 07511 720 127</a:t>
          </a:r>
          <a:endParaRPr lang="en-GB" sz="16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13</xdr:col>
      <xdr:colOff>428625</xdr:colOff>
      <xdr:row>8</xdr:row>
      <xdr:rowOff>66675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1025033A-4B2C-A5E5-23E7-4FC60DF1AAF3}"/>
            </a:ext>
          </a:extLst>
        </xdr:cNvPr>
        <xdr:cNvSpPr/>
      </xdr:nvSpPr>
      <xdr:spPr>
        <a:xfrm>
          <a:off x="9515475" y="0"/>
          <a:ext cx="2867025" cy="1590675"/>
        </a:xfrm>
        <a:prstGeom prst="left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/>
            <a:t>You</a:t>
          </a:r>
          <a:r>
            <a:rPr lang="en-GB" sz="1400" baseline="0"/>
            <a:t> can upload Names Manually</a:t>
          </a:r>
        </a:p>
        <a:p>
          <a:pPr algn="ctr"/>
          <a:r>
            <a:rPr lang="en-GB" sz="1400" baseline="0"/>
            <a:t>Avoid gaps between rows</a:t>
          </a:r>
          <a:endParaRPr lang="en-GB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0</xdr:colOff>
      <xdr:row>3</xdr:row>
      <xdr:rowOff>180975</xdr:rowOff>
    </xdr:to>
    <xdr:sp macro="[0]!Save_MHE_Training" textlink="">
      <xdr:nvSpPr>
        <xdr:cNvPr id="2" name="TextBox 1">
          <a:extLst>
            <a:ext uri="{FF2B5EF4-FFF2-40B4-BE49-F238E27FC236}">
              <a16:creationId xmlns:a16="http://schemas.microsoft.com/office/drawing/2014/main" id="{7A93D337-1280-45D8-A3C1-49B8BFE1E353}"/>
            </a:ext>
          </a:extLst>
        </xdr:cNvPr>
        <xdr:cNvSpPr txBox="1">
          <a:spLocks noChangeAspect="1"/>
        </xdr:cNvSpPr>
      </xdr:nvSpPr>
      <xdr:spPr>
        <a:xfrm>
          <a:off x="228600" y="200025"/>
          <a:ext cx="1104900" cy="571500"/>
        </a:xfrm>
        <a:prstGeom prst="rect">
          <a:avLst/>
        </a:prstGeom>
        <a:solidFill>
          <a:schemeClr val="lt1"/>
        </a:solidFill>
        <a:ln w="9525" cmpd="sng"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000" b="1"/>
            <a:t>BOOK</a:t>
          </a:r>
          <a:r>
            <a:rPr lang="en-GB" sz="2000" b="1" baseline="0"/>
            <a:t> IN</a:t>
          </a:r>
          <a:endParaRPr lang="en-GB" sz="2000" b="1"/>
        </a:p>
      </xdr:txBody>
    </xdr:sp>
    <xdr:clientData/>
  </xdr:twoCellAnchor>
  <xdr:twoCellAnchor editAs="absolute">
    <xdr:from>
      <xdr:col>0</xdr:col>
      <xdr:colOff>1</xdr:colOff>
      <xdr:row>0</xdr:row>
      <xdr:rowOff>1</xdr:rowOff>
    </xdr:from>
    <xdr:to>
      <xdr:col>2</xdr:col>
      <xdr:colOff>1276351</xdr:colOff>
      <xdr:row>0</xdr:row>
      <xdr:rowOff>175103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8933A9E-2C24-D2FA-6898-5376F1E68CE5}"/>
            </a:ext>
          </a:extLst>
        </xdr:cNvPr>
        <xdr:cNvSpPr txBox="1">
          <a:spLocks noChangeAspect="1"/>
        </xdr:cNvSpPr>
      </xdr:nvSpPr>
      <xdr:spPr>
        <a:xfrm>
          <a:off x="1" y="1"/>
          <a:ext cx="2609850" cy="17510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*</a:t>
          </a:r>
          <a:r>
            <a:rPr lang="en-GB" sz="1100" b="1" baseline="0"/>
            <a:t>BOLD</a:t>
          </a:r>
          <a:r>
            <a:rPr lang="en-GB" sz="1100" baseline="0"/>
            <a:t> LETTERS ARE MANDATORY FIELDS</a:t>
          </a:r>
          <a:endParaRPr lang="en-GB" sz="1100"/>
        </a:p>
      </xdr:txBody>
    </xdr:sp>
    <xdr:clientData/>
  </xdr:twoCellAnchor>
  <xdr:twoCellAnchor editAs="absolute">
    <xdr:from>
      <xdr:col>2</xdr:col>
      <xdr:colOff>2133601</xdr:colOff>
      <xdr:row>1</xdr:row>
      <xdr:rowOff>0</xdr:rowOff>
    </xdr:from>
    <xdr:to>
      <xdr:col>3</xdr:col>
      <xdr:colOff>0</xdr:colOff>
      <xdr:row>2</xdr:row>
      <xdr:rowOff>72586</xdr:rowOff>
    </xdr:to>
    <xdr:sp macro="[0]!add_new_trainee" textlink="">
      <xdr:nvSpPr>
        <xdr:cNvPr id="4" name="TextBox 3">
          <a:extLst>
            <a:ext uri="{FF2B5EF4-FFF2-40B4-BE49-F238E27FC236}">
              <a16:creationId xmlns:a16="http://schemas.microsoft.com/office/drawing/2014/main" id="{81D833CF-35A4-4F72-BB70-83DC002B033F}"/>
            </a:ext>
          </a:extLst>
        </xdr:cNvPr>
        <xdr:cNvSpPr txBox="1">
          <a:spLocks noChangeAspect="1"/>
        </xdr:cNvSpPr>
      </xdr:nvSpPr>
      <xdr:spPr>
        <a:xfrm>
          <a:off x="3467101" y="200025"/>
          <a:ext cx="847724" cy="263086"/>
        </a:xfrm>
        <a:prstGeom prst="rect">
          <a:avLst/>
        </a:prstGeom>
        <a:solidFill>
          <a:schemeClr val="lt1"/>
        </a:solidFill>
        <a:ln w="9525" cmpd="sng"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/>
            <a:t>ADD</a:t>
          </a:r>
          <a:r>
            <a:rPr lang="en-GB" sz="1100" b="1" baseline="0"/>
            <a:t> NEW</a:t>
          </a:r>
          <a:endParaRPr lang="en-GB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0</xdr:row>
      <xdr:rowOff>47625</xdr:rowOff>
    </xdr:from>
    <xdr:to>
      <xdr:col>7</xdr:col>
      <xdr:colOff>1257300</xdr:colOff>
      <xdr:row>0</xdr:row>
      <xdr:rowOff>247650</xdr:rowOff>
    </xdr:to>
    <xdr:sp macro="[0]!Calendar_Item_Select" textlink="">
      <xdr:nvSpPr>
        <xdr:cNvPr id="3" name="Button_Detail">
          <a:extLst>
            <a:ext uri="{FF2B5EF4-FFF2-40B4-BE49-F238E27FC236}">
              <a16:creationId xmlns:a16="http://schemas.microsoft.com/office/drawing/2014/main" id="{B1547D47-6857-06A5-27DE-D976DBC99213}"/>
            </a:ext>
          </a:extLst>
        </xdr:cNvPr>
        <xdr:cNvSpPr txBox="1"/>
      </xdr:nvSpPr>
      <xdr:spPr>
        <a:xfrm>
          <a:off x="9144000" y="47625"/>
          <a:ext cx="561975" cy="2000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19050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>
              <a:ln>
                <a:noFill/>
              </a:ln>
            </a:rPr>
            <a:t>Detail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PopulateMHECalendar" textlink="">
      <xdr:nvSpPr>
        <xdr:cNvPr id="2" name="TextBox 1">
          <a:extLst>
            <a:ext uri="{FF2B5EF4-FFF2-40B4-BE49-F238E27FC236}">
              <a16:creationId xmlns:a16="http://schemas.microsoft.com/office/drawing/2014/main" id="{22FFAAA7-B0D9-D3AC-7738-D20807FEDA64}"/>
            </a:ext>
          </a:extLst>
        </xdr:cNvPr>
        <xdr:cNvSpPr txBox="1"/>
      </xdr:nvSpPr>
      <xdr:spPr>
        <a:xfrm>
          <a:off x="8448675" y="0"/>
          <a:ext cx="1381125" cy="428625"/>
        </a:xfrm>
        <a:prstGeom prst="rect">
          <a:avLst/>
        </a:prstGeom>
        <a:solidFill>
          <a:schemeClr val="lt1"/>
        </a:solidFill>
        <a:ln w="9525" cmpd="sng"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000" b="1"/>
            <a:t>REFRESH</a:t>
          </a:r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1047750</xdr:colOff>
      <xdr:row>1</xdr:row>
      <xdr:rowOff>0</xdr:rowOff>
    </xdr:to>
    <xdr:sp macro="[0]!Update_detail" textlink="">
      <xdr:nvSpPr>
        <xdr:cNvPr id="40" name="TextBox 39">
          <a:extLst>
            <a:ext uri="{FF2B5EF4-FFF2-40B4-BE49-F238E27FC236}">
              <a16:creationId xmlns:a16="http://schemas.microsoft.com/office/drawing/2014/main" id="{B0B88130-4B0D-4044-8729-8A81E27C85C5}"/>
            </a:ext>
          </a:extLst>
        </xdr:cNvPr>
        <xdr:cNvSpPr txBox="1"/>
      </xdr:nvSpPr>
      <xdr:spPr>
        <a:xfrm>
          <a:off x="9991725" y="0"/>
          <a:ext cx="1381125" cy="428625"/>
        </a:xfrm>
        <a:prstGeom prst="rect">
          <a:avLst/>
        </a:prstGeom>
        <a:solidFill>
          <a:schemeClr val="lt1"/>
        </a:solidFill>
        <a:ln w="9525" cmpd="sng"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000" b="1"/>
            <a:t>UPDATE</a:t>
          </a:r>
        </a:p>
      </xdr:txBody>
    </xdr:sp>
    <xdr:clientData/>
  </xdr:twoCellAnchor>
  <xdr:twoCellAnchor>
    <xdr:from>
      <xdr:col>15</xdr:col>
      <xdr:colOff>628650</xdr:colOff>
      <xdr:row>0</xdr:row>
      <xdr:rowOff>229914</xdr:rowOff>
    </xdr:from>
    <xdr:to>
      <xdr:col>16</xdr:col>
      <xdr:colOff>0</xdr:colOff>
      <xdr:row>0</xdr:row>
      <xdr:rowOff>419100</xdr:rowOff>
    </xdr:to>
    <xdr:sp macro="[0]!Delete_Item" textlink="">
      <xdr:nvSpPr>
        <xdr:cNvPr id="24" name="TextBox 23">
          <a:extLst>
            <a:ext uri="{FF2B5EF4-FFF2-40B4-BE49-F238E27FC236}">
              <a16:creationId xmlns:a16="http://schemas.microsoft.com/office/drawing/2014/main" id="{27C3D233-AD27-492E-BCDB-171C080D5A45}"/>
            </a:ext>
          </a:extLst>
        </xdr:cNvPr>
        <xdr:cNvSpPr txBox="1"/>
      </xdr:nvSpPr>
      <xdr:spPr>
        <a:xfrm>
          <a:off x="17145000" y="229914"/>
          <a:ext cx="609600" cy="189186"/>
        </a:xfrm>
        <a:prstGeom prst="rect">
          <a:avLst/>
        </a:prstGeom>
        <a:solidFill>
          <a:srgbClr val="FF0000"/>
        </a:solidFill>
        <a:ln w="9525" cmpd="sng"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 b="1"/>
            <a:t>DELETE</a:t>
          </a: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3</xdr:col>
      <xdr:colOff>561975</xdr:colOff>
      <xdr:row>14</xdr:row>
      <xdr:rowOff>0</xdr:rowOff>
    </xdr:to>
    <xdr:sp macro="[0]!Calendar_Item_Select" textlink="">
      <xdr:nvSpPr>
        <xdr:cNvPr id="45" name="Button_Item1">
          <a:extLst>
            <a:ext uri="{FF2B5EF4-FFF2-40B4-BE49-F238E27FC236}">
              <a16:creationId xmlns:a16="http://schemas.microsoft.com/office/drawing/2014/main" id="{C81A2422-AA48-41B4-9ACC-9A8DC8523EE4}"/>
            </a:ext>
          </a:extLst>
        </xdr:cNvPr>
        <xdr:cNvSpPr txBox="1"/>
      </xdr:nvSpPr>
      <xdr:spPr>
        <a:xfrm>
          <a:off x="2924175" y="5448300"/>
          <a:ext cx="561975" cy="2000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19050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>
              <a:ln>
                <a:noFill/>
              </a:ln>
            </a:rPr>
            <a:t>Detail</a:t>
          </a:r>
        </a:p>
      </xdr:txBody>
    </xdr:sp>
    <xdr:clientData/>
  </xdr:twoCellAnchor>
  <xdr:twoCellAnchor>
    <xdr:from>
      <xdr:col>6</xdr:col>
      <xdr:colOff>0</xdr:colOff>
      <xdr:row>13</xdr:row>
      <xdr:rowOff>0</xdr:rowOff>
    </xdr:from>
    <xdr:to>
      <xdr:col>6</xdr:col>
      <xdr:colOff>561975</xdr:colOff>
      <xdr:row>14</xdr:row>
      <xdr:rowOff>0</xdr:rowOff>
    </xdr:to>
    <xdr:sp macro="[0]!Calendar_Item_Select" textlink="">
      <xdr:nvSpPr>
        <xdr:cNvPr id="46" name="Button_Item2">
          <a:extLst>
            <a:ext uri="{FF2B5EF4-FFF2-40B4-BE49-F238E27FC236}">
              <a16:creationId xmlns:a16="http://schemas.microsoft.com/office/drawing/2014/main" id="{3D233424-43CB-6A06-0A91-9E06B8ED5331}"/>
            </a:ext>
          </a:extLst>
        </xdr:cNvPr>
        <xdr:cNvSpPr txBox="1"/>
      </xdr:nvSpPr>
      <xdr:spPr>
        <a:xfrm>
          <a:off x="7067550" y="5448300"/>
          <a:ext cx="561975" cy="2000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19050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>
              <a:ln>
                <a:noFill/>
              </a:ln>
            </a:rPr>
            <a:t>Detail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561975</xdr:colOff>
      <xdr:row>10</xdr:row>
      <xdr:rowOff>0</xdr:rowOff>
    </xdr:to>
    <xdr:sp macro="[0]!Calendar_Item_Select" textlink="">
      <xdr:nvSpPr>
        <xdr:cNvPr id="47" name="Button_Item4">
          <a:extLst>
            <a:ext uri="{FF2B5EF4-FFF2-40B4-BE49-F238E27FC236}">
              <a16:creationId xmlns:a16="http://schemas.microsoft.com/office/drawing/2014/main" id="{6592E458-4138-0BF8-5065-D4E91A9AB67A}"/>
            </a:ext>
          </a:extLst>
        </xdr:cNvPr>
        <xdr:cNvSpPr txBox="1"/>
      </xdr:nvSpPr>
      <xdr:spPr>
        <a:xfrm>
          <a:off x="161925" y="3524250"/>
          <a:ext cx="561975" cy="2000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19050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>
              <a:ln>
                <a:noFill/>
              </a:ln>
            </a:rPr>
            <a:t>Detail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4</xdr:col>
      <xdr:colOff>561975</xdr:colOff>
      <xdr:row>10</xdr:row>
      <xdr:rowOff>0</xdr:rowOff>
    </xdr:to>
    <xdr:sp macro="[0]!Calendar_Item_Select" textlink="">
      <xdr:nvSpPr>
        <xdr:cNvPr id="48" name="Button_Item5">
          <a:extLst>
            <a:ext uri="{FF2B5EF4-FFF2-40B4-BE49-F238E27FC236}">
              <a16:creationId xmlns:a16="http://schemas.microsoft.com/office/drawing/2014/main" id="{0DBAA3B6-9342-4386-B1C2-131D0E0E8A71}"/>
            </a:ext>
          </a:extLst>
        </xdr:cNvPr>
        <xdr:cNvSpPr txBox="1"/>
      </xdr:nvSpPr>
      <xdr:spPr>
        <a:xfrm>
          <a:off x="4305300" y="3524250"/>
          <a:ext cx="561975" cy="2000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19050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>
              <a:ln>
                <a:noFill/>
              </a:ln>
            </a:rPr>
            <a:t>Detail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268605</xdr:colOff>
      <xdr:row>7</xdr:row>
      <xdr:rowOff>139065</xdr:rowOff>
    </xdr:from>
    <xdr:to>
      <xdr:col>4</xdr:col>
      <xdr:colOff>144780</xdr:colOff>
      <xdr:row>22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7426C1-47EB-0392-DBEA-F957F83915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pher Whitter" refreshedDate="46010.695740972224" createdVersion="8" refreshedVersion="8" minRefreshableVersion="3" recordCount="1" xr:uid="{6F5A94E9-ADB5-4342-AB75-2D18F6A91F49}">
  <cacheSource type="worksheet">
    <worksheetSource ref="A2:R3" sheet="Training_Log"/>
  </cacheSource>
  <cacheFields count="16">
    <cacheField name="Course Number" numFmtId="0">
      <sharedItems containsSemiMixedTypes="0" containsString="0" containsNumber="1" containsInteger="1" minValue="1" maxValue="1"/>
    </cacheField>
    <cacheField name="Course Type" numFmtId="0">
      <sharedItems count="1">
        <s v="Refresher"/>
      </sharedItems>
    </cacheField>
    <cacheField name="Truck type" numFmtId="0">
      <sharedItems/>
    </cacheField>
    <cacheField name="Trainer" numFmtId="0">
      <sharedItems count="1">
        <s v="Chris Whitter"/>
      </sharedItems>
    </cacheField>
    <cacheField name="Start Date" numFmtId="165">
      <sharedItems containsSemiMixedTypes="0" containsNonDate="0" containsDate="1" containsString="0" minDate="2026-01-26T00:00:00" maxDate="2026-01-27T00:00:00" count="1">
        <d v="2026-01-26T00:00:00"/>
      </sharedItems>
    </cacheField>
    <cacheField name="End Date" numFmtId="165">
      <sharedItems containsSemiMixedTypes="0" containsNonDate="0" containsDate="1" containsString="0" minDate="2026-01-26T00:00:00" maxDate="2026-01-27T00:00:00"/>
    </cacheField>
    <cacheField name="Start Time" numFmtId="166">
      <sharedItems containsSemiMixedTypes="0" containsNonDate="0" containsDate="1" containsString="0" minDate="1899-12-30T08:00:00" maxDate="1899-12-30T08:00:00"/>
    </cacheField>
    <cacheField name="Trainee Name" numFmtId="0">
      <sharedItems/>
    </cacheField>
    <cacheField name="Department" numFmtId="0">
      <sharedItems/>
    </cacheField>
    <cacheField name="Theory Result" numFmtId="0">
      <sharedItems/>
    </cacheField>
    <cacheField name="Theory %" numFmtId="10">
      <sharedItems containsSemiMixedTypes="0" containsString="0" containsNumber="1" containsInteger="1" minValue="1" maxValue="1"/>
    </cacheField>
    <cacheField name="Practical Result" numFmtId="0">
      <sharedItems/>
    </cacheField>
    <cacheField name="Practical %" numFmtId="1">
      <sharedItems containsSemiMixedTypes="0" containsString="0" containsNumber="1" containsInteger="1" minValue="12" maxValue="12"/>
    </cacheField>
    <cacheField name="Pre-op Result" numFmtId="0">
      <sharedItems/>
    </cacheField>
    <cacheField name="Attempts" numFmtId="0">
      <sharedItems containsSemiMixedTypes="0" containsString="0" containsNumber="1" containsInteger="1" minValue="1" maxValue="1"/>
    </cacheField>
    <cacheField name="Certificate Number" numFmtId="0">
      <sharedItems containsSemiMixedTypes="0" containsString="0" containsNumber="1" containsInteger="1" minValue="1001" maxValue="1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s v="Reach truck"/>
    <x v="0"/>
    <x v="0"/>
    <d v="2026-01-26T00:00:00"/>
    <d v="1899-12-30T08:00:00"/>
    <s v="Dave"/>
    <s v="Goods-in"/>
    <s v="Pass"/>
    <n v="1"/>
    <s v="Pass"/>
    <n v="12"/>
    <s v="Pass"/>
    <n v="1"/>
    <n v="1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4D78AF-5319-4F31-BFE2-BA1BA699815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C6" firstHeaderRow="0" firstDataRow="1" firstDataCol="1" rowPageCount="2" colPageCount="1"/>
  <pivotFields count="16">
    <pivotField showAll="0"/>
    <pivotField axis="axisPage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axis="axisPage" numFmtId="165" showAll="0">
      <items count="2">
        <item x="0"/>
        <item t="default"/>
      </items>
    </pivotField>
    <pivotField numFmtId="165" showAll="0"/>
    <pivotField numFmtId="166" showAll="0"/>
    <pivotField dataField="1" showAll="0"/>
    <pivotField showAll="0"/>
    <pivotField showAll="0"/>
    <pivotField numFmtId="10" showAll="0"/>
    <pivotField showAll="0"/>
    <pivotField numFmtId="1" showAll="0"/>
    <pivotField showAll="0"/>
    <pivotField showAll="0"/>
    <pivotField dataField="1" showAll="0"/>
  </pivotFields>
  <rowFields count="1">
    <field x="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4" hier="-1"/>
    <pageField fld="1" hier="-1"/>
  </pageFields>
  <dataFields count="2">
    <dataField name="Count of Trainee Name" fld="7" subtotal="count" baseField="0" baseItem="0"/>
    <dataField name="Sum of Certificate Number" fld="1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5872A-A1C4-4ABC-AD9A-C94B48EF2E5B}">
  <sheetPr codeName="Sheet4"/>
  <dimension ref="A1:I400"/>
  <sheetViews>
    <sheetView workbookViewId="0">
      <selection activeCell="I17" sqref="I17"/>
    </sheetView>
  </sheetViews>
  <sheetFormatPr defaultRowHeight="15" x14ac:dyDescent="0.25"/>
  <cols>
    <col min="1" max="1" width="16.28515625" bestFit="1" customWidth="1"/>
    <col min="4" max="5" width="15.42578125" customWidth="1"/>
    <col min="6" max="6" width="16.28515625" customWidth="1"/>
    <col min="7" max="7" width="15.140625" customWidth="1"/>
    <col min="9" max="9" width="36.7109375" customWidth="1"/>
  </cols>
  <sheetData>
    <row r="1" spans="1:9" x14ac:dyDescent="0.25">
      <c r="A1" t="s">
        <v>16</v>
      </c>
      <c r="B1">
        <v>1E-4</v>
      </c>
      <c r="E1" s="50" t="s">
        <v>13</v>
      </c>
      <c r="F1" s="47" t="s">
        <v>42</v>
      </c>
      <c r="G1" s="50" t="s">
        <v>2</v>
      </c>
      <c r="H1" s="93" t="s">
        <v>57</v>
      </c>
      <c r="I1" s="50" t="s">
        <v>61</v>
      </c>
    </row>
    <row r="2" spans="1:9" x14ac:dyDescent="0.25">
      <c r="A2" t="s">
        <v>31</v>
      </c>
      <c r="B2">
        <v>3</v>
      </c>
      <c r="E2" s="51" t="s">
        <v>23</v>
      </c>
      <c r="F2" s="48" t="s">
        <v>24</v>
      </c>
      <c r="G2" s="53" t="s">
        <v>54</v>
      </c>
      <c r="H2" s="94" t="s">
        <v>58</v>
      </c>
      <c r="I2" s="53" t="s">
        <v>55</v>
      </c>
    </row>
    <row r="3" spans="1:9" x14ac:dyDescent="0.25">
      <c r="A3" t="s">
        <v>25</v>
      </c>
      <c r="E3" s="51" t="s">
        <v>38</v>
      </c>
      <c r="F3" s="48" t="s">
        <v>43</v>
      </c>
      <c r="G3" s="53"/>
      <c r="H3" s="94" t="s">
        <v>59</v>
      </c>
      <c r="I3" s="53" t="s">
        <v>15</v>
      </c>
    </row>
    <row r="4" spans="1:9" x14ac:dyDescent="0.25">
      <c r="A4" t="s">
        <v>36</v>
      </c>
      <c r="B4">
        <f>DAY(Dashboard!E3)</f>
        <v>0</v>
      </c>
      <c r="E4" s="51" t="s">
        <v>39</v>
      </c>
      <c r="F4" s="48" t="s">
        <v>44</v>
      </c>
      <c r="G4" s="53"/>
      <c r="H4" s="94" t="s">
        <v>60</v>
      </c>
      <c r="I4" s="53" t="s">
        <v>72</v>
      </c>
    </row>
    <row r="5" spans="1:9" x14ac:dyDescent="0.25">
      <c r="A5" t="s">
        <v>35</v>
      </c>
      <c r="B5">
        <f>MONTH(Dashboard!E3)</f>
        <v>1</v>
      </c>
      <c r="E5" s="51" t="s">
        <v>40</v>
      </c>
      <c r="F5" s="48" t="s">
        <v>45</v>
      </c>
      <c r="G5" s="53"/>
      <c r="H5" s="94"/>
      <c r="I5" s="53" t="s">
        <v>73</v>
      </c>
    </row>
    <row r="6" spans="1:9" x14ac:dyDescent="0.25">
      <c r="A6" t="s">
        <v>37</v>
      </c>
      <c r="B6">
        <f>YEAR(Dashboard!E3)</f>
        <v>1900</v>
      </c>
      <c r="E6" s="51" t="s">
        <v>41</v>
      </c>
      <c r="F6" s="48" t="s">
        <v>46</v>
      </c>
      <c r="G6" s="53"/>
      <c r="H6" s="94"/>
      <c r="I6" s="53"/>
    </row>
    <row r="7" spans="1:9" x14ac:dyDescent="0.25">
      <c r="E7" s="51"/>
      <c r="F7" s="48" t="s">
        <v>47</v>
      </c>
      <c r="G7" s="53"/>
      <c r="H7" s="94"/>
      <c r="I7" s="53"/>
    </row>
    <row r="8" spans="1:9" x14ac:dyDescent="0.25">
      <c r="A8" t="s">
        <v>51</v>
      </c>
      <c r="B8" t="s">
        <v>49</v>
      </c>
      <c r="D8" t="s">
        <v>53</v>
      </c>
      <c r="E8" s="51"/>
      <c r="F8" s="48" t="s">
        <v>48</v>
      </c>
      <c r="G8" s="53"/>
      <c r="H8" s="94"/>
      <c r="I8" s="53"/>
    </row>
    <row r="9" spans="1:9" x14ac:dyDescent="0.25">
      <c r="A9" t="s">
        <v>52</v>
      </c>
      <c r="B9" t="s">
        <v>50</v>
      </c>
      <c r="D9" t="s">
        <v>53</v>
      </c>
      <c r="E9" s="51"/>
      <c r="F9" s="48"/>
      <c r="G9" s="53"/>
      <c r="H9" s="94"/>
      <c r="I9" s="53"/>
    </row>
    <row r="10" spans="1:9" x14ac:dyDescent="0.25">
      <c r="E10" s="51"/>
      <c r="F10" s="48"/>
      <c r="G10" s="53"/>
      <c r="H10" s="94"/>
      <c r="I10" s="53"/>
    </row>
    <row r="11" spans="1:9" x14ac:dyDescent="0.25">
      <c r="E11" s="51"/>
      <c r="F11" s="48"/>
      <c r="G11" s="53"/>
      <c r="H11" s="94"/>
      <c r="I11" s="53"/>
    </row>
    <row r="12" spans="1:9" x14ac:dyDescent="0.25">
      <c r="E12" s="51"/>
      <c r="F12" s="48"/>
      <c r="G12" s="53"/>
      <c r="H12" s="94"/>
      <c r="I12" s="53"/>
    </row>
    <row r="13" spans="1:9" x14ac:dyDescent="0.25">
      <c r="E13" s="51"/>
      <c r="F13" s="48"/>
      <c r="G13" s="53"/>
      <c r="H13" s="94"/>
      <c r="I13" s="53"/>
    </row>
    <row r="14" spans="1:9" x14ac:dyDescent="0.25">
      <c r="E14" s="51"/>
      <c r="F14" s="48"/>
      <c r="G14" s="53"/>
      <c r="H14" s="94"/>
      <c r="I14" s="53"/>
    </row>
    <row r="15" spans="1:9" x14ac:dyDescent="0.25">
      <c r="E15" s="51"/>
      <c r="F15" s="48"/>
      <c r="G15" s="53"/>
      <c r="H15" s="94"/>
      <c r="I15" s="53"/>
    </row>
    <row r="16" spans="1:9" ht="15.75" thickBot="1" x14ac:dyDescent="0.3">
      <c r="E16" s="52"/>
      <c r="F16" s="49"/>
      <c r="G16" s="54"/>
      <c r="H16" s="95"/>
      <c r="I16" s="53"/>
    </row>
    <row r="17" spans="9:9" x14ac:dyDescent="0.25">
      <c r="I17" s="53"/>
    </row>
    <row r="18" spans="9:9" x14ac:dyDescent="0.25">
      <c r="I18" s="53"/>
    </row>
    <row r="19" spans="9:9" x14ac:dyDescent="0.25">
      <c r="I19" s="53"/>
    </row>
    <row r="20" spans="9:9" x14ac:dyDescent="0.25">
      <c r="I20" s="53"/>
    </row>
    <row r="21" spans="9:9" x14ac:dyDescent="0.25">
      <c r="I21" s="53"/>
    </row>
    <row r="22" spans="9:9" x14ac:dyDescent="0.25">
      <c r="I22" s="53"/>
    </row>
    <row r="23" spans="9:9" x14ac:dyDescent="0.25">
      <c r="I23" s="53"/>
    </row>
    <row r="24" spans="9:9" x14ac:dyDescent="0.25">
      <c r="I24" s="53"/>
    </row>
    <row r="25" spans="9:9" x14ac:dyDescent="0.25">
      <c r="I25" s="53"/>
    </row>
    <row r="26" spans="9:9" x14ac:dyDescent="0.25">
      <c r="I26" s="53"/>
    </row>
    <row r="27" spans="9:9" x14ac:dyDescent="0.25">
      <c r="I27" s="53"/>
    </row>
    <row r="28" spans="9:9" x14ac:dyDescent="0.25">
      <c r="I28" s="53"/>
    </row>
    <row r="29" spans="9:9" x14ac:dyDescent="0.25">
      <c r="I29" s="53"/>
    </row>
    <row r="30" spans="9:9" x14ac:dyDescent="0.25">
      <c r="I30" s="53"/>
    </row>
    <row r="31" spans="9:9" x14ac:dyDescent="0.25">
      <c r="I31" s="53"/>
    </row>
    <row r="32" spans="9:9" x14ac:dyDescent="0.25">
      <c r="I32" s="53"/>
    </row>
    <row r="33" spans="9:9" x14ac:dyDescent="0.25">
      <c r="I33" s="53"/>
    </row>
    <row r="34" spans="9:9" x14ac:dyDescent="0.25">
      <c r="I34" s="53"/>
    </row>
    <row r="35" spans="9:9" x14ac:dyDescent="0.25">
      <c r="I35" s="53"/>
    </row>
    <row r="36" spans="9:9" x14ac:dyDescent="0.25">
      <c r="I36" s="53"/>
    </row>
    <row r="37" spans="9:9" x14ac:dyDescent="0.25">
      <c r="I37" s="53"/>
    </row>
    <row r="38" spans="9:9" x14ac:dyDescent="0.25">
      <c r="I38" s="53"/>
    </row>
    <row r="39" spans="9:9" x14ac:dyDescent="0.25">
      <c r="I39" s="53"/>
    </row>
    <row r="40" spans="9:9" x14ac:dyDescent="0.25">
      <c r="I40" s="53"/>
    </row>
    <row r="41" spans="9:9" x14ac:dyDescent="0.25">
      <c r="I41" s="53"/>
    </row>
    <row r="42" spans="9:9" x14ac:dyDescent="0.25">
      <c r="I42" s="53"/>
    </row>
    <row r="43" spans="9:9" x14ac:dyDescent="0.25">
      <c r="I43" s="53"/>
    </row>
    <row r="44" spans="9:9" x14ac:dyDescent="0.25">
      <c r="I44" s="53"/>
    </row>
    <row r="45" spans="9:9" x14ac:dyDescent="0.25">
      <c r="I45" s="53"/>
    </row>
    <row r="46" spans="9:9" x14ac:dyDescent="0.25">
      <c r="I46" s="53"/>
    </row>
    <row r="47" spans="9:9" x14ac:dyDescent="0.25">
      <c r="I47" s="53"/>
    </row>
    <row r="48" spans="9:9" x14ac:dyDescent="0.25">
      <c r="I48" s="53"/>
    </row>
    <row r="49" spans="9:9" x14ac:dyDescent="0.25">
      <c r="I49" s="53"/>
    </row>
    <row r="50" spans="9:9" x14ac:dyDescent="0.25">
      <c r="I50" s="53"/>
    </row>
    <row r="51" spans="9:9" x14ac:dyDescent="0.25">
      <c r="I51" s="53"/>
    </row>
    <row r="52" spans="9:9" x14ac:dyDescent="0.25">
      <c r="I52" s="53"/>
    </row>
    <row r="53" spans="9:9" x14ac:dyDescent="0.25">
      <c r="I53" s="53"/>
    </row>
    <row r="54" spans="9:9" x14ac:dyDescent="0.25">
      <c r="I54" s="53"/>
    </row>
    <row r="55" spans="9:9" x14ac:dyDescent="0.25">
      <c r="I55" s="53"/>
    </row>
    <row r="56" spans="9:9" x14ac:dyDescent="0.25">
      <c r="I56" s="53"/>
    </row>
    <row r="57" spans="9:9" x14ac:dyDescent="0.25">
      <c r="I57" s="53"/>
    </row>
    <row r="58" spans="9:9" x14ac:dyDescent="0.25">
      <c r="I58" s="53"/>
    </row>
    <row r="59" spans="9:9" x14ac:dyDescent="0.25">
      <c r="I59" s="53"/>
    </row>
    <row r="60" spans="9:9" x14ac:dyDescent="0.25">
      <c r="I60" s="53"/>
    </row>
    <row r="61" spans="9:9" x14ac:dyDescent="0.25">
      <c r="I61" s="53"/>
    </row>
    <row r="62" spans="9:9" x14ac:dyDescent="0.25">
      <c r="I62" s="53"/>
    </row>
    <row r="63" spans="9:9" x14ac:dyDescent="0.25">
      <c r="I63" s="53"/>
    </row>
    <row r="64" spans="9:9" x14ac:dyDescent="0.25">
      <c r="I64" s="53"/>
    </row>
    <row r="65" spans="9:9" x14ac:dyDescent="0.25">
      <c r="I65" s="53"/>
    </row>
    <row r="66" spans="9:9" x14ac:dyDescent="0.25">
      <c r="I66" s="53"/>
    </row>
    <row r="67" spans="9:9" x14ac:dyDescent="0.25">
      <c r="I67" s="53"/>
    </row>
    <row r="68" spans="9:9" x14ac:dyDescent="0.25">
      <c r="I68" s="53"/>
    </row>
    <row r="69" spans="9:9" x14ac:dyDescent="0.25">
      <c r="I69" s="53"/>
    </row>
    <row r="70" spans="9:9" x14ac:dyDescent="0.25">
      <c r="I70" s="53"/>
    </row>
    <row r="71" spans="9:9" x14ac:dyDescent="0.25">
      <c r="I71" s="53"/>
    </row>
    <row r="72" spans="9:9" x14ac:dyDescent="0.25">
      <c r="I72" s="53"/>
    </row>
    <row r="73" spans="9:9" x14ac:dyDescent="0.25">
      <c r="I73" s="53"/>
    </row>
    <row r="74" spans="9:9" x14ac:dyDescent="0.25">
      <c r="I74" s="53"/>
    </row>
    <row r="75" spans="9:9" x14ac:dyDescent="0.25">
      <c r="I75" s="53"/>
    </row>
    <row r="76" spans="9:9" x14ac:dyDescent="0.25">
      <c r="I76" s="53"/>
    </row>
    <row r="77" spans="9:9" x14ac:dyDescent="0.25">
      <c r="I77" s="53"/>
    </row>
    <row r="78" spans="9:9" x14ac:dyDescent="0.25">
      <c r="I78" s="53"/>
    </row>
    <row r="79" spans="9:9" x14ac:dyDescent="0.25">
      <c r="I79" s="53"/>
    </row>
    <row r="80" spans="9:9" x14ac:dyDescent="0.25">
      <c r="I80" s="53"/>
    </row>
    <row r="81" spans="9:9" x14ac:dyDescent="0.25">
      <c r="I81" s="53"/>
    </row>
    <row r="82" spans="9:9" x14ac:dyDescent="0.25">
      <c r="I82" s="53"/>
    </row>
    <row r="83" spans="9:9" x14ac:dyDescent="0.25">
      <c r="I83" s="53"/>
    </row>
    <row r="84" spans="9:9" x14ac:dyDescent="0.25">
      <c r="I84" s="53"/>
    </row>
    <row r="85" spans="9:9" x14ac:dyDescent="0.25">
      <c r="I85" s="53"/>
    </row>
    <row r="86" spans="9:9" x14ac:dyDescent="0.25">
      <c r="I86" s="53"/>
    </row>
    <row r="87" spans="9:9" x14ac:dyDescent="0.25">
      <c r="I87" s="53"/>
    </row>
    <row r="88" spans="9:9" x14ac:dyDescent="0.25">
      <c r="I88" s="53"/>
    </row>
    <row r="89" spans="9:9" x14ac:dyDescent="0.25">
      <c r="I89" s="53"/>
    </row>
    <row r="90" spans="9:9" x14ac:dyDescent="0.25">
      <c r="I90" s="53"/>
    </row>
    <row r="91" spans="9:9" x14ac:dyDescent="0.25">
      <c r="I91" s="53"/>
    </row>
    <row r="92" spans="9:9" x14ac:dyDescent="0.25">
      <c r="I92" s="53"/>
    </row>
    <row r="93" spans="9:9" x14ac:dyDescent="0.25">
      <c r="I93" s="53"/>
    </row>
    <row r="94" spans="9:9" x14ac:dyDescent="0.25">
      <c r="I94" s="53"/>
    </row>
    <row r="95" spans="9:9" x14ac:dyDescent="0.25">
      <c r="I95" s="53"/>
    </row>
    <row r="96" spans="9:9" x14ac:dyDescent="0.25">
      <c r="I96" s="53"/>
    </row>
    <row r="97" spans="9:9" x14ac:dyDescent="0.25">
      <c r="I97" s="53"/>
    </row>
    <row r="98" spans="9:9" x14ac:dyDescent="0.25">
      <c r="I98" s="53"/>
    </row>
    <row r="99" spans="9:9" x14ac:dyDescent="0.25">
      <c r="I99" s="53"/>
    </row>
    <row r="100" spans="9:9" x14ac:dyDescent="0.25">
      <c r="I100" s="53"/>
    </row>
    <row r="101" spans="9:9" x14ac:dyDescent="0.25">
      <c r="I101" s="53"/>
    </row>
    <row r="102" spans="9:9" x14ac:dyDescent="0.25">
      <c r="I102" s="53"/>
    </row>
    <row r="103" spans="9:9" x14ac:dyDescent="0.25">
      <c r="I103" s="53"/>
    </row>
    <row r="104" spans="9:9" x14ac:dyDescent="0.25">
      <c r="I104" s="53"/>
    </row>
    <row r="105" spans="9:9" x14ac:dyDescent="0.25">
      <c r="I105" s="53"/>
    </row>
    <row r="106" spans="9:9" x14ac:dyDescent="0.25">
      <c r="I106" s="53"/>
    </row>
    <row r="107" spans="9:9" x14ac:dyDescent="0.25">
      <c r="I107" s="53"/>
    </row>
    <row r="108" spans="9:9" x14ac:dyDescent="0.25">
      <c r="I108" s="53"/>
    </row>
    <row r="109" spans="9:9" x14ac:dyDescent="0.25">
      <c r="I109" s="53"/>
    </row>
    <row r="110" spans="9:9" x14ac:dyDescent="0.25">
      <c r="I110" s="53"/>
    </row>
    <row r="111" spans="9:9" x14ac:dyDescent="0.25">
      <c r="I111" s="53"/>
    </row>
    <row r="112" spans="9:9" x14ac:dyDescent="0.25">
      <c r="I112" s="53"/>
    </row>
    <row r="113" spans="9:9" x14ac:dyDescent="0.25">
      <c r="I113" s="53"/>
    </row>
    <row r="114" spans="9:9" x14ac:dyDescent="0.25">
      <c r="I114" s="53"/>
    </row>
    <row r="115" spans="9:9" x14ac:dyDescent="0.25">
      <c r="I115" s="53"/>
    </row>
    <row r="116" spans="9:9" x14ac:dyDescent="0.25">
      <c r="I116" s="53"/>
    </row>
    <row r="117" spans="9:9" x14ac:dyDescent="0.25">
      <c r="I117" s="53"/>
    </row>
    <row r="118" spans="9:9" x14ac:dyDescent="0.25">
      <c r="I118" s="53"/>
    </row>
    <row r="119" spans="9:9" x14ac:dyDescent="0.25">
      <c r="I119" s="53"/>
    </row>
    <row r="120" spans="9:9" x14ac:dyDescent="0.25">
      <c r="I120" s="53"/>
    </row>
    <row r="121" spans="9:9" x14ac:dyDescent="0.25">
      <c r="I121" s="53"/>
    </row>
    <row r="122" spans="9:9" x14ac:dyDescent="0.25">
      <c r="I122" s="53"/>
    </row>
    <row r="123" spans="9:9" x14ac:dyDescent="0.25">
      <c r="I123" s="53"/>
    </row>
    <row r="124" spans="9:9" x14ac:dyDescent="0.25">
      <c r="I124" s="53"/>
    </row>
    <row r="125" spans="9:9" x14ac:dyDescent="0.25">
      <c r="I125" s="53"/>
    </row>
    <row r="126" spans="9:9" x14ac:dyDescent="0.25">
      <c r="I126" s="53"/>
    </row>
    <row r="127" spans="9:9" x14ac:dyDescent="0.25">
      <c r="I127" s="53"/>
    </row>
    <row r="128" spans="9:9" x14ac:dyDescent="0.25">
      <c r="I128" s="53"/>
    </row>
    <row r="129" spans="9:9" x14ac:dyDescent="0.25">
      <c r="I129" s="53"/>
    </row>
    <row r="130" spans="9:9" x14ac:dyDescent="0.25">
      <c r="I130" s="53"/>
    </row>
    <row r="131" spans="9:9" x14ac:dyDescent="0.25">
      <c r="I131" s="53"/>
    </row>
    <row r="132" spans="9:9" x14ac:dyDescent="0.25">
      <c r="I132" s="53"/>
    </row>
    <row r="133" spans="9:9" x14ac:dyDescent="0.25">
      <c r="I133" s="53"/>
    </row>
    <row r="134" spans="9:9" x14ac:dyDescent="0.25">
      <c r="I134" s="53"/>
    </row>
    <row r="135" spans="9:9" x14ac:dyDescent="0.25">
      <c r="I135" s="53"/>
    </row>
    <row r="136" spans="9:9" x14ac:dyDescent="0.25">
      <c r="I136" s="53"/>
    </row>
    <row r="137" spans="9:9" x14ac:dyDescent="0.25">
      <c r="I137" s="53"/>
    </row>
    <row r="138" spans="9:9" x14ac:dyDescent="0.25">
      <c r="I138" s="53"/>
    </row>
    <row r="139" spans="9:9" x14ac:dyDescent="0.25">
      <c r="I139" s="53"/>
    </row>
    <row r="140" spans="9:9" x14ac:dyDescent="0.25">
      <c r="I140" s="53"/>
    </row>
    <row r="141" spans="9:9" x14ac:dyDescent="0.25">
      <c r="I141" s="53"/>
    </row>
    <row r="142" spans="9:9" x14ac:dyDescent="0.25">
      <c r="I142" s="53"/>
    </row>
    <row r="143" spans="9:9" x14ac:dyDescent="0.25">
      <c r="I143" s="53"/>
    </row>
    <row r="144" spans="9:9" x14ac:dyDescent="0.25">
      <c r="I144" s="53"/>
    </row>
    <row r="145" spans="9:9" x14ac:dyDescent="0.25">
      <c r="I145" s="53"/>
    </row>
    <row r="146" spans="9:9" x14ac:dyDescent="0.25">
      <c r="I146" s="53"/>
    </row>
    <row r="147" spans="9:9" x14ac:dyDescent="0.25">
      <c r="I147" s="53"/>
    </row>
    <row r="148" spans="9:9" x14ac:dyDescent="0.25">
      <c r="I148" s="53"/>
    </row>
    <row r="149" spans="9:9" x14ac:dyDescent="0.25">
      <c r="I149" s="53"/>
    </row>
    <row r="150" spans="9:9" x14ac:dyDescent="0.25">
      <c r="I150" s="53"/>
    </row>
    <row r="151" spans="9:9" x14ac:dyDescent="0.25">
      <c r="I151" s="53"/>
    </row>
    <row r="152" spans="9:9" x14ac:dyDescent="0.25">
      <c r="I152" s="53"/>
    </row>
    <row r="153" spans="9:9" x14ac:dyDescent="0.25">
      <c r="I153" s="53"/>
    </row>
    <row r="154" spans="9:9" x14ac:dyDescent="0.25">
      <c r="I154" s="53"/>
    </row>
    <row r="155" spans="9:9" x14ac:dyDescent="0.25">
      <c r="I155" s="53"/>
    </row>
    <row r="156" spans="9:9" x14ac:dyDescent="0.25">
      <c r="I156" s="53"/>
    </row>
    <row r="157" spans="9:9" x14ac:dyDescent="0.25">
      <c r="I157" s="53"/>
    </row>
    <row r="158" spans="9:9" x14ac:dyDescent="0.25">
      <c r="I158" s="53"/>
    </row>
    <row r="159" spans="9:9" x14ac:dyDescent="0.25">
      <c r="I159" s="53"/>
    </row>
    <row r="160" spans="9:9" x14ac:dyDescent="0.25">
      <c r="I160" s="53"/>
    </row>
    <row r="161" spans="9:9" x14ac:dyDescent="0.25">
      <c r="I161" s="53"/>
    </row>
    <row r="162" spans="9:9" x14ac:dyDescent="0.25">
      <c r="I162" s="53"/>
    </row>
    <row r="163" spans="9:9" x14ac:dyDescent="0.25">
      <c r="I163" s="53"/>
    </row>
    <row r="164" spans="9:9" x14ac:dyDescent="0.25">
      <c r="I164" s="53"/>
    </row>
    <row r="165" spans="9:9" x14ac:dyDescent="0.25">
      <c r="I165" s="53"/>
    </row>
    <row r="166" spans="9:9" x14ac:dyDescent="0.25">
      <c r="I166" s="53"/>
    </row>
    <row r="167" spans="9:9" x14ac:dyDescent="0.25">
      <c r="I167" s="53"/>
    </row>
    <row r="168" spans="9:9" x14ac:dyDescent="0.25">
      <c r="I168" s="53"/>
    </row>
    <row r="169" spans="9:9" x14ac:dyDescent="0.25">
      <c r="I169" s="53"/>
    </row>
    <row r="170" spans="9:9" x14ac:dyDescent="0.25">
      <c r="I170" s="53"/>
    </row>
    <row r="171" spans="9:9" x14ac:dyDescent="0.25">
      <c r="I171" s="53"/>
    </row>
    <row r="172" spans="9:9" x14ac:dyDescent="0.25">
      <c r="I172" s="53"/>
    </row>
    <row r="173" spans="9:9" x14ac:dyDescent="0.25">
      <c r="I173" s="53"/>
    </row>
    <row r="174" spans="9:9" x14ac:dyDescent="0.25">
      <c r="I174" s="53"/>
    </row>
    <row r="175" spans="9:9" x14ac:dyDescent="0.25">
      <c r="I175" s="53"/>
    </row>
    <row r="176" spans="9:9" x14ac:dyDescent="0.25">
      <c r="I176" s="53"/>
    </row>
    <row r="177" spans="9:9" x14ac:dyDescent="0.25">
      <c r="I177" s="53"/>
    </row>
    <row r="178" spans="9:9" x14ac:dyDescent="0.25">
      <c r="I178" s="53"/>
    </row>
    <row r="179" spans="9:9" x14ac:dyDescent="0.25">
      <c r="I179" s="53"/>
    </row>
    <row r="180" spans="9:9" x14ac:dyDescent="0.25">
      <c r="I180" s="53"/>
    </row>
    <row r="181" spans="9:9" x14ac:dyDescent="0.25">
      <c r="I181" s="53"/>
    </row>
    <row r="182" spans="9:9" x14ac:dyDescent="0.25">
      <c r="I182" s="53"/>
    </row>
    <row r="183" spans="9:9" x14ac:dyDescent="0.25">
      <c r="I183" s="53"/>
    </row>
    <row r="184" spans="9:9" x14ac:dyDescent="0.25">
      <c r="I184" s="53"/>
    </row>
    <row r="185" spans="9:9" x14ac:dyDescent="0.25">
      <c r="I185" s="53"/>
    </row>
    <row r="186" spans="9:9" x14ac:dyDescent="0.25">
      <c r="I186" s="53"/>
    </row>
    <row r="187" spans="9:9" x14ac:dyDescent="0.25">
      <c r="I187" s="53"/>
    </row>
    <row r="188" spans="9:9" x14ac:dyDescent="0.25">
      <c r="I188" s="53"/>
    </row>
    <row r="189" spans="9:9" x14ac:dyDescent="0.25">
      <c r="I189" s="53"/>
    </row>
    <row r="190" spans="9:9" x14ac:dyDescent="0.25">
      <c r="I190" s="53"/>
    </row>
    <row r="191" spans="9:9" x14ac:dyDescent="0.25">
      <c r="I191" s="53"/>
    </row>
    <row r="192" spans="9:9" x14ac:dyDescent="0.25">
      <c r="I192" s="53"/>
    </row>
    <row r="193" spans="9:9" x14ac:dyDescent="0.25">
      <c r="I193" s="53"/>
    </row>
    <row r="194" spans="9:9" x14ac:dyDescent="0.25">
      <c r="I194" s="53"/>
    </row>
    <row r="195" spans="9:9" x14ac:dyDescent="0.25">
      <c r="I195" s="53"/>
    </row>
    <row r="196" spans="9:9" x14ac:dyDescent="0.25">
      <c r="I196" s="53"/>
    </row>
    <row r="197" spans="9:9" x14ac:dyDescent="0.25">
      <c r="I197" s="53"/>
    </row>
    <row r="198" spans="9:9" x14ac:dyDescent="0.25">
      <c r="I198" s="53"/>
    </row>
    <row r="199" spans="9:9" x14ac:dyDescent="0.25">
      <c r="I199" s="53"/>
    </row>
    <row r="200" spans="9:9" x14ac:dyDescent="0.25">
      <c r="I200" s="53"/>
    </row>
    <row r="201" spans="9:9" x14ac:dyDescent="0.25">
      <c r="I201" s="53"/>
    </row>
    <row r="202" spans="9:9" x14ac:dyDescent="0.25">
      <c r="I202" s="53"/>
    </row>
    <row r="203" spans="9:9" x14ac:dyDescent="0.25">
      <c r="I203" s="53"/>
    </row>
    <row r="204" spans="9:9" x14ac:dyDescent="0.25">
      <c r="I204" s="53"/>
    </row>
    <row r="205" spans="9:9" x14ac:dyDescent="0.25">
      <c r="I205" s="53"/>
    </row>
    <row r="206" spans="9:9" x14ac:dyDescent="0.25">
      <c r="I206" s="53"/>
    </row>
    <row r="207" spans="9:9" x14ac:dyDescent="0.25">
      <c r="I207" s="53"/>
    </row>
    <row r="208" spans="9:9" x14ac:dyDescent="0.25">
      <c r="I208" s="53"/>
    </row>
    <row r="209" spans="9:9" x14ac:dyDescent="0.25">
      <c r="I209" s="53"/>
    </row>
    <row r="210" spans="9:9" x14ac:dyDescent="0.25">
      <c r="I210" s="53"/>
    </row>
    <row r="211" spans="9:9" x14ac:dyDescent="0.25">
      <c r="I211" s="53"/>
    </row>
    <row r="212" spans="9:9" x14ac:dyDescent="0.25">
      <c r="I212" s="53"/>
    </row>
    <row r="213" spans="9:9" x14ac:dyDescent="0.25">
      <c r="I213" s="53"/>
    </row>
    <row r="214" spans="9:9" x14ac:dyDescent="0.25">
      <c r="I214" s="53"/>
    </row>
    <row r="215" spans="9:9" x14ac:dyDescent="0.25">
      <c r="I215" s="53"/>
    </row>
    <row r="216" spans="9:9" x14ac:dyDescent="0.25">
      <c r="I216" s="53"/>
    </row>
    <row r="217" spans="9:9" x14ac:dyDescent="0.25">
      <c r="I217" s="53"/>
    </row>
    <row r="218" spans="9:9" x14ac:dyDescent="0.25">
      <c r="I218" s="53"/>
    </row>
    <row r="219" spans="9:9" x14ac:dyDescent="0.25">
      <c r="I219" s="53"/>
    </row>
    <row r="220" spans="9:9" x14ac:dyDescent="0.25">
      <c r="I220" s="53"/>
    </row>
    <row r="221" spans="9:9" x14ac:dyDescent="0.25">
      <c r="I221" s="53"/>
    </row>
    <row r="222" spans="9:9" x14ac:dyDescent="0.25">
      <c r="I222" s="53"/>
    </row>
    <row r="223" spans="9:9" x14ac:dyDescent="0.25">
      <c r="I223" s="53"/>
    </row>
    <row r="224" spans="9:9" x14ac:dyDescent="0.25">
      <c r="I224" s="53"/>
    </row>
    <row r="225" spans="9:9" x14ac:dyDescent="0.25">
      <c r="I225" s="53"/>
    </row>
    <row r="226" spans="9:9" x14ac:dyDescent="0.25">
      <c r="I226" s="53"/>
    </row>
    <row r="227" spans="9:9" x14ac:dyDescent="0.25">
      <c r="I227" s="53"/>
    </row>
    <row r="228" spans="9:9" x14ac:dyDescent="0.25">
      <c r="I228" s="53"/>
    </row>
    <row r="229" spans="9:9" x14ac:dyDescent="0.25">
      <c r="I229" s="53"/>
    </row>
    <row r="230" spans="9:9" x14ac:dyDescent="0.25">
      <c r="I230" s="53"/>
    </row>
    <row r="231" spans="9:9" x14ac:dyDescent="0.25">
      <c r="I231" s="53"/>
    </row>
    <row r="232" spans="9:9" x14ac:dyDescent="0.25">
      <c r="I232" s="53"/>
    </row>
    <row r="233" spans="9:9" x14ac:dyDescent="0.25">
      <c r="I233" s="53"/>
    </row>
    <row r="234" spans="9:9" x14ac:dyDescent="0.25">
      <c r="I234" s="53"/>
    </row>
    <row r="235" spans="9:9" x14ac:dyDescent="0.25">
      <c r="I235" s="53"/>
    </row>
    <row r="236" spans="9:9" x14ac:dyDescent="0.25">
      <c r="I236" s="53"/>
    </row>
    <row r="237" spans="9:9" x14ac:dyDescent="0.25">
      <c r="I237" s="53"/>
    </row>
    <row r="238" spans="9:9" x14ac:dyDescent="0.25">
      <c r="I238" s="53"/>
    </row>
    <row r="239" spans="9:9" x14ac:dyDescent="0.25">
      <c r="I239" s="53"/>
    </row>
    <row r="240" spans="9:9" x14ac:dyDescent="0.25">
      <c r="I240" s="53"/>
    </row>
    <row r="241" spans="9:9" x14ac:dyDescent="0.25">
      <c r="I241" s="53"/>
    </row>
    <row r="242" spans="9:9" x14ac:dyDescent="0.25">
      <c r="I242" s="53"/>
    </row>
    <row r="243" spans="9:9" x14ac:dyDescent="0.25">
      <c r="I243" s="53"/>
    </row>
    <row r="244" spans="9:9" x14ac:dyDescent="0.25">
      <c r="I244" s="53"/>
    </row>
    <row r="245" spans="9:9" x14ac:dyDescent="0.25">
      <c r="I245" s="53"/>
    </row>
    <row r="246" spans="9:9" x14ac:dyDescent="0.25">
      <c r="I246" s="53"/>
    </row>
    <row r="247" spans="9:9" x14ac:dyDescent="0.25">
      <c r="I247" s="53"/>
    </row>
    <row r="248" spans="9:9" x14ac:dyDescent="0.25">
      <c r="I248" s="53"/>
    </row>
    <row r="249" spans="9:9" x14ac:dyDescent="0.25">
      <c r="I249" s="53"/>
    </row>
    <row r="250" spans="9:9" x14ac:dyDescent="0.25">
      <c r="I250" s="53"/>
    </row>
    <row r="251" spans="9:9" x14ac:dyDescent="0.25">
      <c r="I251" s="53"/>
    </row>
    <row r="252" spans="9:9" x14ac:dyDescent="0.25">
      <c r="I252" s="53"/>
    </row>
    <row r="253" spans="9:9" x14ac:dyDescent="0.25">
      <c r="I253" s="53"/>
    </row>
    <row r="254" spans="9:9" x14ac:dyDescent="0.25">
      <c r="I254" s="53"/>
    </row>
    <row r="255" spans="9:9" x14ac:dyDescent="0.25">
      <c r="I255" s="53"/>
    </row>
    <row r="256" spans="9:9" x14ac:dyDescent="0.25">
      <c r="I256" s="53"/>
    </row>
    <row r="257" spans="9:9" x14ac:dyDescent="0.25">
      <c r="I257" s="53"/>
    </row>
    <row r="258" spans="9:9" x14ac:dyDescent="0.25">
      <c r="I258" s="53"/>
    </row>
    <row r="259" spans="9:9" x14ac:dyDescent="0.25">
      <c r="I259" s="53"/>
    </row>
    <row r="260" spans="9:9" x14ac:dyDescent="0.25">
      <c r="I260" s="53"/>
    </row>
    <row r="261" spans="9:9" x14ac:dyDescent="0.25">
      <c r="I261" s="53"/>
    </row>
    <row r="262" spans="9:9" x14ac:dyDescent="0.25">
      <c r="I262" s="53"/>
    </row>
    <row r="263" spans="9:9" x14ac:dyDescent="0.25">
      <c r="I263" s="53"/>
    </row>
    <row r="264" spans="9:9" x14ac:dyDescent="0.25">
      <c r="I264" s="53"/>
    </row>
    <row r="265" spans="9:9" x14ac:dyDescent="0.25">
      <c r="I265" s="53"/>
    </row>
    <row r="266" spans="9:9" x14ac:dyDescent="0.25">
      <c r="I266" s="53"/>
    </row>
    <row r="267" spans="9:9" x14ac:dyDescent="0.25">
      <c r="I267" s="53"/>
    </row>
    <row r="268" spans="9:9" x14ac:dyDescent="0.25">
      <c r="I268" s="53"/>
    </row>
    <row r="269" spans="9:9" x14ac:dyDescent="0.25">
      <c r="I269" s="53"/>
    </row>
    <row r="270" spans="9:9" x14ac:dyDescent="0.25">
      <c r="I270" s="53"/>
    </row>
    <row r="271" spans="9:9" x14ac:dyDescent="0.25">
      <c r="I271" s="53"/>
    </row>
    <row r="272" spans="9:9" x14ac:dyDescent="0.25">
      <c r="I272" s="53"/>
    </row>
    <row r="273" spans="9:9" x14ac:dyDescent="0.25">
      <c r="I273" s="53"/>
    </row>
    <row r="274" spans="9:9" x14ac:dyDescent="0.25">
      <c r="I274" s="53"/>
    </row>
    <row r="275" spans="9:9" x14ac:dyDescent="0.25">
      <c r="I275" s="53"/>
    </row>
    <row r="276" spans="9:9" x14ac:dyDescent="0.25">
      <c r="I276" s="53"/>
    </row>
    <row r="277" spans="9:9" x14ac:dyDescent="0.25">
      <c r="I277" s="53"/>
    </row>
    <row r="278" spans="9:9" x14ac:dyDescent="0.25">
      <c r="I278" s="53"/>
    </row>
    <row r="279" spans="9:9" x14ac:dyDescent="0.25">
      <c r="I279" s="53"/>
    </row>
    <row r="280" spans="9:9" x14ac:dyDescent="0.25">
      <c r="I280" s="53"/>
    </row>
    <row r="281" spans="9:9" x14ac:dyDescent="0.25">
      <c r="I281" s="53"/>
    </row>
    <row r="282" spans="9:9" x14ac:dyDescent="0.25">
      <c r="I282" s="53"/>
    </row>
    <row r="283" spans="9:9" x14ac:dyDescent="0.25">
      <c r="I283" s="53"/>
    </row>
    <row r="284" spans="9:9" x14ac:dyDescent="0.25">
      <c r="I284" s="53"/>
    </row>
    <row r="285" spans="9:9" x14ac:dyDescent="0.25">
      <c r="I285" s="53"/>
    </row>
    <row r="286" spans="9:9" x14ac:dyDescent="0.25">
      <c r="I286" s="53"/>
    </row>
    <row r="287" spans="9:9" x14ac:dyDescent="0.25">
      <c r="I287" s="53"/>
    </row>
    <row r="288" spans="9:9" x14ac:dyDescent="0.25">
      <c r="I288" s="53"/>
    </row>
    <row r="289" spans="9:9" x14ac:dyDescent="0.25">
      <c r="I289" s="53"/>
    </row>
    <row r="290" spans="9:9" x14ac:dyDescent="0.25">
      <c r="I290" s="53"/>
    </row>
    <row r="291" spans="9:9" x14ac:dyDescent="0.25">
      <c r="I291" s="53"/>
    </row>
    <row r="292" spans="9:9" x14ac:dyDescent="0.25">
      <c r="I292" s="53"/>
    </row>
    <row r="293" spans="9:9" x14ac:dyDescent="0.25">
      <c r="I293" s="53"/>
    </row>
    <row r="294" spans="9:9" x14ac:dyDescent="0.25">
      <c r="I294" s="53"/>
    </row>
    <row r="295" spans="9:9" x14ac:dyDescent="0.25">
      <c r="I295" s="53"/>
    </row>
    <row r="296" spans="9:9" x14ac:dyDescent="0.25">
      <c r="I296" s="53"/>
    </row>
    <row r="297" spans="9:9" x14ac:dyDescent="0.25">
      <c r="I297" s="53"/>
    </row>
    <row r="298" spans="9:9" x14ac:dyDescent="0.25">
      <c r="I298" s="53"/>
    </row>
    <row r="299" spans="9:9" x14ac:dyDescent="0.25">
      <c r="I299" s="53"/>
    </row>
    <row r="300" spans="9:9" x14ac:dyDescent="0.25">
      <c r="I300" s="53"/>
    </row>
    <row r="301" spans="9:9" x14ac:dyDescent="0.25">
      <c r="I301" s="53"/>
    </row>
    <row r="302" spans="9:9" x14ac:dyDescent="0.25">
      <c r="I302" s="53"/>
    </row>
    <row r="303" spans="9:9" x14ac:dyDescent="0.25">
      <c r="I303" s="53"/>
    </row>
    <row r="304" spans="9:9" x14ac:dyDescent="0.25">
      <c r="I304" s="53"/>
    </row>
    <row r="305" spans="9:9" x14ac:dyDescent="0.25">
      <c r="I305" s="53"/>
    </row>
    <row r="306" spans="9:9" x14ac:dyDescent="0.25">
      <c r="I306" s="53"/>
    </row>
    <row r="307" spans="9:9" x14ac:dyDescent="0.25">
      <c r="I307" s="53"/>
    </row>
    <row r="308" spans="9:9" x14ac:dyDescent="0.25">
      <c r="I308" s="53"/>
    </row>
    <row r="309" spans="9:9" x14ac:dyDescent="0.25">
      <c r="I309" s="53"/>
    </row>
    <row r="310" spans="9:9" x14ac:dyDescent="0.25">
      <c r="I310" s="53"/>
    </row>
    <row r="311" spans="9:9" x14ac:dyDescent="0.25">
      <c r="I311" s="53"/>
    </row>
    <row r="312" spans="9:9" x14ac:dyDescent="0.25">
      <c r="I312" s="53"/>
    </row>
    <row r="313" spans="9:9" x14ac:dyDescent="0.25">
      <c r="I313" s="53"/>
    </row>
    <row r="314" spans="9:9" x14ac:dyDescent="0.25">
      <c r="I314" s="53"/>
    </row>
    <row r="315" spans="9:9" x14ac:dyDescent="0.25">
      <c r="I315" s="53"/>
    </row>
    <row r="316" spans="9:9" x14ac:dyDescent="0.25">
      <c r="I316" s="53"/>
    </row>
    <row r="317" spans="9:9" x14ac:dyDescent="0.25">
      <c r="I317" s="53"/>
    </row>
    <row r="318" spans="9:9" x14ac:dyDescent="0.25">
      <c r="I318" s="53"/>
    </row>
    <row r="319" spans="9:9" x14ac:dyDescent="0.25">
      <c r="I319" s="53"/>
    </row>
    <row r="320" spans="9:9" x14ac:dyDescent="0.25">
      <c r="I320" s="53"/>
    </row>
    <row r="321" spans="9:9" x14ac:dyDescent="0.25">
      <c r="I321" s="53"/>
    </row>
    <row r="322" spans="9:9" x14ac:dyDescent="0.25">
      <c r="I322" s="53"/>
    </row>
    <row r="323" spans="9:9" x14ac:dyDescent="0.25">
      <c r="I323" s="53"/>
    </row>
    <row r="324" spans="9:9" x14ac:dyDescent="0.25">
      <c r="I324" s="53"/>
    </row>
    <row r="325" spans="9:9" x14ac:dyDescent="0.25">
      <c r="I325" s="53"/>
    </row>
    <row r="326" spans="9:9" x14ac:dyDescent="0.25">
      <c r="I326" s="53"/>
    </row>
    <row r="327" spans="9:9" x14ac:dyDescent="0.25">
      <c r="I327" s="53"/>
    </row>
    <row r="328" spans="9:9" x14ac:dyDescent="0.25">
      <c r="I328" s="53"/>
    </row>
    <row r="329" spans="9:9" x14ac:dyDescent="0.25">
      <c r="I329" s="53"/>
    </row>
    <row r="330" spans="9:9" x14ac:dyDescent="0.25">
      <c r="I330" s="53"/>
    </row>
    <row r="331" spans="9:9" x14ac:dyDescent="0.25">
      <c r="I331" s="53"/>
    </row>
    <row r="332" spans="9:9" x14ac:dyDescent="0.25">
      <c r="I332" s="53"/>
    </row>
    <row r="333" spans="9:9" x14ac:dyDescent="0.25">
      <c r="I333" s="53"/>
    </row>
    <row r="334" spans="9:9" x14ac:dyDescent="0.25">
      <c r="I334" s="53"/>
    </row>
    <row r="335" spans="9:9" x14ac:dyDescent="0.25">
      <c r="I335" s="53"/>
    </row>
    <row r="336" spans="9:9" x14ac:dyDescent="0.25">
      <c r="I336" s="53"/>
    </row>
    <row r="337" spans="9:9" x14ac:dyDescent="0.25">
      <c r="I337" s="53"/>
    </row>
    <row r="338" spans="9:9" x14ac:dyDescent="0.25">
      <c r="I338" s="53"/>
    </row>
    <row r="339" spans="9:9" x14ac:dyDescent="0.25">
      <c r="I339" s="53"/>
    </row>
    <row r="340" spans="9:9" x14ac:dyDescent="0.25">
      <c r="I340" s="53"/>
    </row>
    <row r="341" spans="9:9" x14ac:dyDescent="0.25">
      <c r="I341" s="53"/>
    </row>
    <row r="342" spans="9:9" x14ac:dyDescent="0.25">
      <c r="I342" s="53"/>
    </row>
    <row r="343" spans="9:9" x14ac:dyDescent="0.25">
      <c r="I343" s="53"/>
    </row>
    <row r="344" spans="9:9" x14ac:dyDescent="0.25">
      <c r="I344" s="53"/>
    </row>
    <row r="345" spans="9:9" x14ac:dyDescent="0.25">
      <c r="I345" s="53"/>
    </row>
    <row r="346" spans="9:9" x14ac:dyDescent="0.25">
      <c r="I346" s="53"/>
    </row>
    <row r="347" spans="9:9" x14ac:dyDescent="0.25">
      <c r="I347" s="53"/>
    </row>
    <row r="348" spans="9:9" x14ac:dyDescent="0.25">
      <c r="I348" s="53"/>
    </row>
    <row r="349" spans="9:9" x14ac:dyDescent="0.25">
      <c r="I349" s="53"/>
    </row>
    <row r="350" spans="9:9" x14ac:dyDescent="0.25">
      <c r="I350" s="53"/>
    </row>
    <row r="351" spans="9:9" x14ac:dyDescent="0.25">
      <c r="I351" s="53"/>
    </row>
    <row r="352" spans="9:9" x14ac:dyDescent="0.25">
      <c r="I352" s="53"/>
    </row>
    <row r="353" spans="9:9" x14ac:dyDescent="0.25">
      <c r="I353" s="53"/>
    </row>
    <row r="354" spans="9:9" x14ac:dyDescent="0.25">
      <c r="I354" s="53"/>
    </row>
    <row r="355" spans="9:9" x14ac:dyDescent="0.25">
      <c r="I355" s="53"/>
    </row>
    <row r="356" spans="9:9" x14ac:dyDescent="0.25">
      <c r="I356" s="53"/>
    </row>
    <row r="357" spans="9:9" x14ac:dyDescent="0.25">
      <c r="I357" s="53"/>
    </row>
    <row r="358" spans="9:9" x14ac:dyDescent="0.25">
      <c r="I358" s="53"/>
    </row>
    <row r="359" spans="9:9" x14ac:dyDescent="0.25">
      <c r="I359" s="53"/>
    </row>
    <row r="360" spans="9:9" x14ac:dyDescent="0.25">
      <c r="I360" s="53"/>
    </row>
    <row r="361" spans="9:9" x14ac:dyDescent="0.25">
      <c r="I361" s="53"/>
    </row>
    <row r="362" spans="9:9" x14ac:dyDescent="0.25">
      <c r="I362" s="53"/>
    </row>
    <row r="363" spans="9:9" x14ac:dyDescent="0.25">
      <c r="I363" s="53"/>
    </row>
    <row r="364" spans="9:9" x14ac:dyDescent="0.25">
      <c r="I364" s="53"/>
    </row>
    <row r="365" spans="9:9" x14ac:dyDescent="0.25">
      <c r="I365" s="53"/>
    </row>
    <row r="366" spans="9:9" x14ac:dyDescent="0.25">
      <c r="I366" s="53"/>
    </row>
    <row r="367" spans="9:9" x14ac:dyDescent="0.25">
      <c r="I367" s="53"/>
    </row>
    <row r="368" spans="9:9" x14ac:dyDescent="0.25">
      <c r="I368" s="53"/>
    </row>
    <row r="369" spans="9:9" x14ac:dyDescent="0.25">
      <c r="I369" s="53"/>
    </row>
    <row r="370" spans="9:9" x14ac:dyDescent="0.25">
      <c r="I370" s="53"/>
    </row>
    <row r="371" spans="9:9" x14ac:dyDescent="0.25">
      <c r="I371" s="53"/>
    </row>
    <row r="372" spans="9:9" x14ac:dyDescent="0.25">
      <c r="I372" s="53"/>
    </row>
    <row r="373" spans="9:9" x14ac:dyDescent="0.25">
      <c r="I373" s="53"/>
    </row>
    <row r="374" spans="9:9" x14ac:dyDescent="0.25">
      <c r="I374" s="53"/>
    </row>
    <row r="375" spans="9:9" x14ac:dyDescent="0.25">
      <c r="I375" s="53"/>
    </row>
    <row r="376" spans="9:9" x14ac:dyDescent="0.25">
      <c r="I376" s="53"/>
    </row>
    <row r="377" spans="9:9" x14ac:dyDescent="0.25">
      <c r="I377" s="53"/>
    </row>
    <row r="378" spans="9:9" x14ac:dyDescent="0.25">
      <c r="I378" s="53"/>
    </row>
    <row r="379" spans="9:9" x14ac:dyDescent="0.25">
      <c r="I379" s="53"/>
    </row>
    <row r="380" spans="9:9" x14ac:dyDescent="0.25">
      <c r="I380" s="53"/>
    </row>
    <row r="381" spans="9:9" x14ac:dyDescent="0.25">
      <c r="I381" s="53"/>
    </row>
    <row r="382" spans="9:9" x14ac:dyDescent="0.25">
      <c r="I382" s="53"/>
    </row>
    <row r="383" spans="9:9" x14ac:dyDescent="0.25">
      <c r="I383" s="53"/>
    </row>
    <row r="384" spans="9:9" x14ac:dyDescent="0.25">
      <c r="I384" s="53"/>
    </row>
    <row r="385" spans="9:9" x14ac:dyDescent="0.25">
      <c r="I385" s="53"/>
    </row>
    <row r="386" spans="9:9" x14ac:dyDescent="0.25">
      <c r="I386" s="53"/>
    </row>
    <row r="387" spans="9:9" x14ac:dyDescent="0.25">
      <c r="I387" s="53"/>
    </row>
    <row r="388" spans="9:9" x14ac:dyDescent="0.25">
      <c r="I388" s="53"/>
    </row>
    <row r="389" spans="9:9" x14ac:dyDescent="0.25">
      <c r="I389" s="53"/>
    </row>
    <row r="390" spans="9:9" x14ac:dyDescent="0.25">
      <c r="I390" s="53"/>
    </row>
    <row r="391" spans="9:9" x14ac:dyDescent="0.25">
      <c r="I391" s="53"/>
    </row>
    <row r="392" spans="9:9" x14ac:dyDescent="0.25">
      <c r="I392" s="53"/>
    </row>
    <row r="393" spans="9:9" x14ac:dyDescent="0.25">
      <c r="I393" s="53"/>
    </row>
    <row r="394" spans="9:9" x14ac:dyDescent="0.25">
      <c r="I394" s="53"/>
    </row>
    <row r="395" spans="9:9" x14ac:dyDescent="0.25">
      <c r="I395" s="53"/>
    </row>
    <row r="396" spans="9:9" x14ac:dyDescent="0.25">
      <c r="I396" s="53"/>
    </row>
    <row r="397" spans="9:9" x14ac:dyDescent="0.25">
      <c r="I397" s="53"/>
    </row>
    <row r="398" spans="9:9" x14ac:dyDescent="0.25">
      <c r="I398" s="53"/>
    </row>
    <row r="399" spans="9:9" x14ac:dyDescent="0.25">
      <c r="I399" s="53"/>
    </row>
    <row r="400" spans="9:9" ht="15.75" thickBot="1" x14ac:dyDescent="0.3">
      <c r="I400" s="54"/>
    </row>
  </sheetData>
  <phoneticPr fontId="9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B3B3A-6D57-4949-810B-37966F1C6AE1}">
  <sheetPr codeName="Sheet1"/>
  <dimension ref="A1:Q31"/>
  <sheetViews>
    <sheetView workbookViewId="0">
      <selection activeCell="C3" sqref="C3"/>
    </sheetView>
  </sheetViews>
  <sheetFormatPr defaultRowHeight="15" x14ac:dyDescent="0.25"/>
  <cols>
    <col min="1" max="1" width="3.42578125" customWidth="1"/>
    <col min="2" max="2" width="16.5703125" customWidth="1"/>
    <col min="3" max="3" width="44.7109375" customWidth="1"/>
    <col min="4" max="4" width="17.7109375" bestFit="1" customWidth="1"/>
    <col min="5" max="5" width="44.7109375" customWidth="1"/>
    <col min="6" max="6" width="17.7109375" bestFit="1" customWidth="1"/>
    <col min="7" max="7" width="44.7109375" customWidth="1"/>
    <col min="8" max="8" width="17.7109375" bestFit="1" customWidth="1"/>
    <col min="9" max="9" width="44.7109375" customWidth="1"/>
    <col min="10" max="10" width="3.42578125" customWidth="1"/>
    <col min="12" max="12" width="8.28515625" bestFit="1" customWidth="1"/>
    <col min="13" max="13" width="77.140625" bestFit="1" customWidth="1"/>
  </cols>
  <sheetData>
    <row r="1" spans="1:17" ht="15.75" thickBot="1" x14ac:dyDescent="0.3">
      <c r="A1" s="55"/>
      <c r="B1" s="55"/>
      <c r="C1" s="55"/>
      <c r="D1" s="55"/>
      <c r="E1" s="55"/>
      <c r="F1" s="55"/>
      <c r="G1" s="55"/>
      <c r="H1" s="55"/>
      <c r="I1" s="55"/>
      <c r="J1" s="55"/>
    </row>
    <row r="2" spans="1:17" x14ac:dyDescent="0.25">
      <c r="A2" s="55"/>
      <c r="B2" s="57"/>
      <c r="C2" s="96" t="s">
        <v>62</v>
      </c>
      <c r="D2" s="66" t="s">
        <v>26</v>
      </c>
      <c r="E2" s="78"/>
      <c r="F2" s="84" t="s">
        <v>27</v>
      </c>
      <c r="G2" s="78"/>
      <c r="H2" s="84" t="s">
        <v>28</v>
      </c>
      <c r="I2" s="78"/>
      <c r="J2" s="55"/>
    </row>
    <row r="3" spans="1:17" ht="15.75" thickBot="1" x14ac:dyDescent="0.3">
      <c r="A3" s="55"/>
      <c r="B3" s="58"/>
      <c r="C3" s="97"/>
      <c r="D3" s="62" t="s">
        <v>7</v>
      </c>
      <c r="E3" s="79"/>
      <c r="F3" s="62" t="s">
        <v>7</v>
      </c>
      <c r="G3" s="79"/>
      <c r="H3" s="62" t="s">
        <v>7</v>
      </c>
      <c r="I3" s="79"/>
      <c r="J3" s="55"/>
    </row>
    <row r="4" spans="1:17" x14ac:dyDescent="0.25">
      <c r="A4" s="55"/>
      <c r="B4" s="58"/>
      <c r="C4" s="41"/>
      <c r="D4" s="62" t="s">
        <v>8</v>
      </c>
      <c r="E4" s="79"/>
      <c r="F4" s="62" t="s">
        <v>8</v>
      </c>
      <c r="G4" s="79"/>
      <c r="H4" s="62" t="s">
        <v>8</v>
      </c>
      <c r="I4" s="79"/>
      <c r="J4" s="55"/>
    </row>
    <row r="5" spans="1:17" x14ac:dyDescent="0.25">
      <c r="A5" s="55"/>
      <c r="B5" s="67" t="s">
        <v>13</v>
      </c>
      <c r="C5" s="75"/>
      <c r="D5" s="62" t="s">
        <v>12</v>
      </c>
      <c r="E5" s="79"/>
      <c r="F5" s="62" t="s">
        <v>12</v>
      </c>
      <c r="G5" s="79"/>
      <c r="H5" s="62" t="s">
        <v>12</v>
      </c>
      <c r="I5" s="79"/>
      <c r="J5" s="55"/>
    </row>
    <row r="6" spans="1:17" x14ac:dyDescent="0.25">
      <c r="A6" s="55"/>
      <c r="B6" s="60" t="s">
        <v>1</v>
      </c>
      <c r="C6" s="76"/>
      <c r="D6" s="63" t="s">
        <v>9</v>
      </c>
      <c r="E6" s="80"/>
      <c r="F6" s="63" t="s">
        <v>9</v>
      </c>
      <c r="G6" s="80"/>
      <c r="H6" s="63" t="s">
        <v>9</v>
      </c>
      <c r="I6" s="80"/>
      <c r="J6" s="55"/>
    </row>
    <row r="7" spans="1:17" x14ac:dyDescent="0.25">
      <c r="A7" s="55"/>
      <c r="B7" s="59" t="s">
        <v>2</v>
      </c>
      <c r="C7" s="76"/>
      <c r="D7" s="62" t="s">
        <v>10</v>
      </c>
      <c r="E7" s="79"/>
      <c r="F7" s="62" t="s">
        <v>10</v>
      </c>
      <c r="G7" s="79"/>
      <c r="H7" s="62" t="s">
        <v>10</v>
      </c>
      <c r="I7" s="79"/>
      <c r="J7" s="55"/>
    </row>
    <row r="8" spans="1:17" x14ac:dyDescent="0.25">
      <c r="A8" s="55"/>
      <c r="B8" s="60" t="s">
        <v>3</v>
      </c>
      <c r="C8" s="83"/>
      <c r="D8" s="62" t="s">
        <v>11</v>
      </c>
      <c r="E8" s="79"/>
      <c r="F8" s="62" t="s">
        <v>11</v>
      </c>
      <c r="G8" s="79"/>
      <c r="H8" s="62" t="s">
        <v>11</v>
      </c>
      <c r="I8" s="79"/>
      <c r="J8" s="55"/>
      <c r="K8" s="44"/>
      <c r="N8" s="42"/>
    </row>
    <row r="9" spans="1:17" x14ac:dyDescent="0.25">
      <c r="A9" s="55"/>
      <c r="B9" s="60" t="s">
        <v>4</v>
      </c>
      <c r="C9" s="83"/>
      <c r="D9" s="64" t="s">
        <v>14</v>
      </c>
      <c r="E9" s="81"/>
      <c r="F9" s="64" t="s">
        <v>14</v>
      </c>
      <c r="G9" s="81"/>
      <c r="H9" s="64" t="s">
        <v>14</v>
      </c>
      <c r="I9" s="81"/>
      <c r="J9" s="55"/>
      <c r="N9" s="44"/>
      <c r="Q9" s="42"/>
    </row>
    <row r="10" spans="1:17" ht="15.75" thickBot="1" x14ac:dyDescent="0.3">
      <c r="A10" s="55"/>
      <c r="B10" s="61" t="s">
        <v>5</v>
      </c>
      <c r="C10" s="77"/>
      <c r="D10" s="65" t="s">
        <v>6</v>
      </c>
      <c r="E10" s="82"/>
      <c r="F10" s="65" t="s">
        <v>6</v>
      </c>
      <c r="G10" s="82"/>
      <c r="H10" s="65" t="s">
        <v>6</v>
      </c>
      <c r="I10" s="82"/>
      <c r="J10" s="55"/>
      <c r="K10" s="43"/>
      <c r="L10" s="45"/>
      <c r="M10" s="43"/>
      <c r="N10" s="43"/>
      <c r="O10" s="43"/>
      <c r="P10" s="43"/>
      <c r="Q10" s="46"/>
    </row>
    <row r="11" spans="1:17" x14ac:dyDescent="0.25">
      <c r="A11" s="55"/>
      <c r="B11" s="55"/>
      <c r="C11" s="55"/>
      <c r="D11" s="55"/>
      <c r="E11" s="55"/>
      <c r="F11" s="55"/>
      <c r="G11" s="56"/>
      <c r="H11" s="55"/>
      <c r="I11" s="55"/>
      <c r="J11" s="55"/>
      <c r="K11" s="43"/>
      <c r="L11" s="45"/>
      <c r="M11" s="43"/>
      <c r="N11" s="43"/>
      <c r="O11" s="43"/>
      <c r="P11" s="43"/>
      <c r="Q11" s="46"/>
    </row>
    <row r="12" spans="1:17" x14ac:dyDescent="0.25">
      <c r="C12" s="68"/>
      <c r="G12" s="44"/>
      <c r="K12" s="43"/>
      <c r="L12" s="45"/>
      <c r="M12" s="43"/>
      <c r="N12" s="43"/>
      <c r="O12" s="43"/>
      <c r="P12" s="43"/>
      <c r="Q12" s="46"/>
    </row>
    <row r="13" spans="1:17" x14ac:dyDescent="0.25">
      <c r="B13" s="68"/>
      <c r="C13" s="2"/>
      <c r="G13" s="44"/>
    </row>
    <row r="14" spans="1:17" x14ac:dyDescent="0.25">
      <c r="B14" s="68"/>
      <c r="C14" s="2"/>
      <c r="G14" s="44"/>
    </row>
    <row r="15" spans="1:17" x14ac:dyDescent="0.25">
      <c r="B15" s="68"/>
      <c r="C15" s="2"/>
      <c r="G15" s="44"/>
    </row>
    <row r="16" spans="1:17" x14ac:dyDescent="0.25">
      <c r="B16" s="68"/>
      <c r="C16" s="2"/>
      <c r="G16" s="44"/>
    </row>
    <row r="17" spans="2:7" x14ac:dyDescent="0.25">
      <c r="B17" s="68"/>
      <c r="C17" s="2"/>
    </row>
    <row r="18" spans="2:7" x14ac:dyDescent="0.25">
      <c r="B18" s="68"/>
      <c r="C18" s="2"/>
    </row>
    <row r="19" spans="2:7" x14ac:dyDescent="0.25">
      <c r="B19" s="68"/>
      <c r="C19" s="2"/>
    </row>
    <row r="20" spans="2:7" x14ac:dyDescent="0.25">
      <c r="B20" s="68"/>
      <c r="C20" s="2"/>
      <c r="G20" s="44"/>
    </row>
    <row r="21" spans="2:7" x14ac:dyDescent="0.25">
      <c r="B21" s="68"/>
      <c r="C21" s="2"/>
    </row>
    <row r="22" spans="2:7" x14ac:dyDescent="0.25">
      <c r="B22" s="68"/>
      <c r="C22" s="2"/>
    </row>
    <row r="23" spans="2:7" x14ac:dyDescent="0.25">
      <c r="B23" s="68"/>
      <c r="C23" s="2"/>
      <c r="G23" s="42"/>
    </row>
    <row r="24" spans="2:7" x14ac:dyDescent="0.25">
      <c r="B24" s="68"/>
      <c r="C24" s="2"/>
      <c r="G24" s="44"/>
    </row>
    <row r="25" spans="2:7" x14ac:dyDescent="0.25">
      <c r="B25" s="68"/>
      <c r="C25" s="2"/>
      <c r="G25" s="44"/>
    </row>
    <row r="26" spans="2:7" x14ac:dyDescent="0.25">
      <c r="B26" s="68"/>
      <c r="C26" s="2"/>
      <c r="G26" s="44"/>
    </row>
    <row r="27" spans="2:7" x14ac:dyDescent="0.25">
      <c r="B27" s="68"/>
      <c r="C27" s="2"/>
      <c r="G27" s="44"/>
    </row>
    <row r="28" spans="2:7" x14ac:dyDescent="0.25">
      <c r="G28" s="44"/>
    </row>
    <row r="29" spans="2:7" x14ac:dyDescent="0.25">
      <c r="G29" s="44"/>
    </row>
    <row r="30" spans="2:7" x14ac:dyDescent="0.25">
      <c r="G30" s="44"/>
    </row>
    <row r="31" spans="2:7" x14ac:dyDescent="0.25">
      <c r="G31" s="44"/>
    </row>
  </sheetData>
  <conditionalFormatting sqref="C12">
    <cfRule type="cellIs" dxfId="61" priority="11" operator="equal">
      <formula>"Refer"</formula>
    </cfRule>
    <cfRule type="cellIs" dxfId="60" priority="12" operator="equal">
      <formula>"Pass"</formula>
    </cfRule>
  </conditionalFormatting>
  <conditionalFormatting sqref="B14">
    <cfRule type="cellIs" dxfId="59" priority="9" operator="equal">
      <formula>"Fail"</formula>
    </cfRule>
    <cfRule type="cellIs" dxfId="58" priority="10" operator="equal">
      <formula>"Pass"</formula>
    </cfRule>
  </conditionalFormatting>
  <conditionalFormatting sqref="B16">
    <cfRule type="cellIs" dxfId="57" priority="7" operator="equal">
      <formula>"Pass"</formula>
    </cfRule>
    <cfRule type="cellIs" dxfId="56" priority="8" operator="equal">
      <formula>"Fail"</formula>
    </cfRule>
  </conditionalFormatting>
  <conditionalFormatting sqref="B20">
    <cfRule type="cellIs" dxfId="55" priority="5" operator="equal">
      <formula>"Refer"</formula>
    </cfRule>
    <cfRule type="cellIs" dxfId="54" priority="6" operator="equal">
      <formula>"Pass"</formula>
    </cfRule>
  </conditionalFormatting>
  <conditionalFormatting sqref="B22">
    <cfRule type="cellIs" dxfId="53" priority="3" operator="equal">
      <formula>"Fail"</formula>
    </cfRule>
    <cfRule type="cellIs" dxfId="52" priority="4" operator="equal">
      <formula>"Pass"</formula>
    </cfRule>
  </conditionalFormatting>
  <conditionalFormatting sqref="B24">
    <cfRule type="cellIs" dxfId="51" priority="1" operator="equal">
      <formula>"Pass"</formula>
    </cfRule>
    <cfRule type="cellIs" dxfId="50" priority="2" operator="equal">
      <formula>"Fail"</formula>
    </cfRule>
  </conditionalFormatting>
  <dataValidations count="9">
    <dataValidation type="list" allowBlank="1" showInputMessage="1" showErrorMessage="1" sqref="M10:M12 K10:K12 O10:O12" xr:uid="{9A7A70C4-447E-4587-AF1F-FEE17D724615}">
      <formula1>"Pass, Fail"</formula1>
    </dataValidation>
    <dataValidation type="whole" allowBlank="1" showInputMessage="1" showErrorMessage="1" sqref="P10" xr:uid="{432A4170-3375-48BE-B271-3B97E925AC09}">
      <formula1>1</formula1>
      <formula2>3</formula2>
    </dataValidation>
    <dataValidation type="decimal" allowBlank="1" showInputMessage="1" showErrorMessage="1" sqref="L10:L12" xr:uid="{40974824-A71D-4297-AC46-F3ED933ED70B}">
      <formula1>0</formula1>
      <formula2>100</formula2>
    </dataValidation>
    <dataValidation type="list" allowBlank="1" showInputMessage="1" showErrorMessage="1" sqref="C5" xr:uid="{82D47199-5617-41E1-A98E-2FEB03DDF2D1}">
      <formula1>Course_Type</formula1>
    </dataValidation>
    <dataValidation type="list" allowBlank="1" showInputMessage="1" showErrorMessage="1" sqref="C6" xr:uid="{46CF6C71-7CB0-4059-BC57-3D1D6B2EF90A}">
      <formula1>Truck_Type</formula1>
    </dataValidation>
    <dataValidation type="list" allowBlank="1" showInputMessage="1" showErrorMessage="1" sqref="C7" xr:uid="{98240D9D-6B06-4C08-86F2-62E6BC002B70}">
      <formula1>Trainer_List</formula1>
    </dataValidation>
    <dataValidation type="date" allowBlank="1" showInputMessage="1" showErrorMessage="1" errorTitle="Range 01/01/2026 till 01/01/2100" error="Format: 30/06/2026" promptTitle="Format: 30/06/2026" sqref="C8:C9" xr:uid="{3A939775-8FD7-4381-955D-D7164CED5173}">
      <formula1>46023</formula1>
      <formula2>73051</formula2>
    </dataValidation>
    <dataValidation type="list" allowBlank="1" showInputMessage="1" showErrorMessage="1" sqref="E2 G2 I2" xr:uid="{8BC3DB79-F96A-4895-8360-59A37F7CE83B}">
      <formula1>Trainees_Names_List</formula1>
    </dataValidation>
    <dataValidation type="list" allowBlank="1" showInputMessage="1" showErrorMessage="1" sqref="E3 E5 G3 G5 I3 I5" xr:uid="{FD8699C4-FEF1-4B81-9D27-07F399850F3D}">
      <formula1>Result_List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6A9ED-1AF2-44C7-BA50-D2370F51142A}">
  <sheetPr codeName="Sheet5">
    <tabColor theme="4" tint="-0.499984740745262"/>
    <pageSetUpPr fitToPage="1"/>
  </sheetPr>
  <dimension ref="A1:Q16"/>
  <sheetViews>
    <sheetView showGridLines="0" tabSelected="1" showRuler="0" zoomScaleNormal="100" workbookViewId="0">
      <selection activeCell="F7" sqref="F7"/>
    </sheetView>
  </sheetViews>
  <sheetFormatPr defaultColWidth="8.85546875" defaultRowHeight="15" x14ac:dyDescent="0.25"/>
  <cols>
    <col min="1" max="1" width="2.42578125" style="3" customWidth="1"/>
    <col min="2" max="8" width="20.7109375" style="3" customWidth="1"/>
    <col min="9" max="9" width="2.42578125" style="3" customWidth="1"/>
    <col min="10" max="10" width="5" style="13" customWidth="1"/>
    <col min="11" max="16" width="18.5703125" style="13" customWidth="1"/>
    <col min="17" max="17" width="2.42578125" style="3" customWidth="1"/>
    <col min="18" max="16384" width="8.85546875" style="3"/>
  </cols>
  <sheetData>
    <row r="1" spans="1:17" ht="33.75" customHeight="1" x14ac:dyDescent="0.25">
      <c r="A1" s="12"/>
      <c r="B1" s="92">
        <v>2026</v>
      </c>
      <c r="C1" s="99" t="s">
        <v>64</v>
      </c>
      <c r="D1" s="99"/>
      <c r="E1" s="91" t="s">
        <v>22</v>
      </c>
      <c r="F1" s="12"/>
      <c r="G1" s="12"/>
      <c r="H1" s="12"/>
      <c r="I1" s="12"/>
      <c r="J1" s="101" t="s">
        <v>30</v>
      </c>
      <c r="K1" s="101"/>
      <c r="L1" s="101"/>
      <c r="M1" s="101"/>
      <c r="N1" s="101"/>
      <c r="O1" s="101"/>
      <c r="P1" s="101"/>
      <c r="Q1" s="12"/>
    </row>
    <row r="2" spans="1:17" ht="16.5" hidden="1" customHeight="1" x14ac:dyDescent="0.25">
      <c r="A2" s="12"/>
      <c r="B2" s="9">
        <v>2026</v>
      </c>
      <c r="C2" s="100">
        <f>MATCH(UPPER($C$1),{"JANUARY","FEBRUARY","MARCH","APRIL","MAY","JUNE","JULY","AUGUST","SEPTEMBER","OCTOBER","NOVEMBER","DECEMBER"},0)</f>
        <v>1</v>
      </c>
      <c r="D2" s="100"/>
      <c r="E2" s="8"/>
      <c r="I2" s="12"/>
      <c r="Q2" s="12"/>
    </row>
    <row r="3" spans="1:17" ht="16.5" customHeight="1" thickBot="1" x14ac:dyDescent="0.3">
      <c r="A3" s="12"/>
      <c r="B3" s="7">
        <f t="array" ref="B3:H3">calendar</f>
        <v>46013</v>
      </c>
      <c r="C3" s="7">
        <v>46014</v>
      </c>
      <c r="D3" s="7">
        <v>46015</v>
      </c>
      <c r="E3" s="7">
        <v>46016</v>
      </c>
      <c r="F3" s="7">
        <v>46017</v>
      </c>
      <c r="G3" s="7">
        <v>46018</v>
      </c>
      <c r="H3" s="7">
        <v>46019</v>
      </c>
      <c r="I3" s="12"/>
      <c r="J3" s="85" t="s">
        <v>29</v>
      </c>
      <c r="K3" s="85" t="s">
        <v>13</v>
      </c>
      <c r="L3" s="85" t="s">
        <v>1</v>
      </c>
      <c r="M3" s="16" t="s">
        <v>2</v>
      </c>
      <c r="N3" s="85" t="s">
        <v>3</v>
      </c>
      <c r="O3" s="85" t="s">
        <v>4</v>
      </c>
      <c r="P3" s="86" t="s">
        <v>5</v>
      </c>
      <c r="Q3" s="12"/>
    </row>
    <row r="4" spans="1:17" ht="15.95" customHeight="1" thickTop="1" x14ac:dyDescent="0.25">
      <c r="A4" s="12"/>
      <c r="B4" s="6">
        <f t="array" ref="B4:H4">INDEX(calendar,ndx+0)</f>
        <v>46020</v>
      </c>
      <c r="C4" s="6">
        <v>46021</v>
      </c>
      <c r="D4" s="6">
        <v>46022</v>
      </c>
      <c r="E4" s="6">
        <v>46023</v>
      </c>
      <c r="F4" s="10">
        <v>46024</v>
      </c>
      <c r="G4" s="6">
        <v>46025</v>
      </c>
      <c r="H4" s="6">
        <v>46026</v>
      </c>
      <c r="I4" s="12"/>
      <c r="J4" s="20"/>
      <c r="K4" s="20"/>
      <c r="L4" s="20"/>
      <c r="M4" s="20"/>
      <c r="N4" s="17"/>
      <c r="O4" s="17"/>
      <c r="P4" s="18"/>
      <c r="Q4" s="12"/>
    </row>
    <row r="5" spans="1:17" ht="60" customHeight="1" x14ac:dyDescent="0.25">
      <c r="A5" s="12"/>
      <c r="B5" s="19"/>
      <c r="C5" s="19"/>
      <c r="D5" s="19"/>
      <c r="E5" s="19"/>
      <c r="F5" s="19"/>
      <c r="G5" s="19"/>
      <c r="H5" s="19"/>
      <c r="I5" s="12"/>
      <c r="J5" s="13">
        <v>1</v>
      </c>
      <c r="K5" s="34" t="s">
        <v>23</v>
      </c>
      <c r="L5" s="21" t="s">
        <v>24</v>
      </c>
      <c r="M5" s="21" t="s">
        <v>33</v>
      </c>
      <c r="N5" s="14">
        <v>46057</v>
      </c>
      <c r="O5" s="14">
        <v>46059</v>
      </c>
      <c r="P5" s="15">
        <v>0.33333333333333331</v>
      </c>
      <c r="Q5" s="12"/>
    </row>
    <row r="6" spans="1:17" ht="15.95" customHeight="1" thickBot="1" x14ac:dyDescent="0.3">
      <c r="A6" s="12"/>
      <c r="B6" s="5">
        <f t="array" ref="B6:H6">INDEX(calendar,ndx+1)</f>
        <v>46027</v>
      </c>
      <c r="C6" s="5">
        <v>46028</v>
      </c>
      <c r="D6" s="5">
        <v>46029</v>
      </c>
      <c r="E6" s="5">
        <v>46030</v>
      </c>
      <c r="F6" s="5">
        <v>46031</v>
      </c>
      <c r="G6" s="5">
        <v>46032</v>
      </c>
      <c r="H6" s="5">
        <v>46033</v>
      </c>
      <c r="I6" s="12"/>
      <c r="J6" s="33"/>
      <c r="K6" s="87" t="s">
        <v>26</v>
      </c>
      <c r="L6" s="23" t="s">
        <v>6</v>
      </c>
      <c r="M6" s="25" t="s">
        <v>27</v>
      </c>
      <c r="N6" s="25" t="s">
        <v>6</v>
      </c>
      <c r="O6" s="27" t="s">
        <v>28</v>
      </c>
      <c r="P6" s="27" t="s">
        <v>6</v>
      </c>
      <c r="Q6" s="12"/>
    </row>
    <row r="7" spans="1:17" ht="60" customHeight="1" thickTop="1" x14ac:dyDescent="0.25">
      <c r="A7" s="12"/>
      <c r="B7" s="19"/>
      <c r="C7" s="19"/>
      <c r="D7" s="19"/>
      <c r="E7" s="19"/>
      <c r="F7" s="19"/>
      <c r="G7" s="19"/>
      <c r="H7" s="19"/>
      <c r="I7" s="12"/>
      <c r="J7" s="90" t="s">
        <v>34</v>
      </c>
      <c r="K7" s="35" t="s">
        <v>55</v>
      </c>
      <c r="L7" s="35" t="s">
        <v>56</v>
      </c>
      <c r="M7" s="88" t="s">
        <v>63</v>
      </c>
      <c r="N7" s="88" t="s">
        <v>70</v>
      </c>
      <c r="O7" s="28" t="s">
        <v>55</v>
      </c>
      <c r="P7" s="105" t="s">
        <v>71</v>
      </c>
      <c r="Q7" s="12"/>
    </row>
    <row r="8" spans="1:17" ht="15.95" customHeight="1" thickBot="1" x14ac:dyDescent="0.3">
      <c r="A8" s="12"/>
      <c r="B8" s="5">
        <f t="array" ref="B8:H8">INDEX(calendar,ndx+2)</f>
        <v>46034</v>
      </c>
      <c r="C8" s="5">
        <v>46035</v>
      </c>
      <c r="D8" s="5">
        <v>46036</v>
      </c>
      <c r="E8" s="11">
        <v>46037</v>
      </c>
      <c r="F8" s="5">
        <v>46038</v>
      </c>
      <c r="G8" s="5">
        <v>46039</v>
      </c>
      <c r="H8" s="5">
        <v>46040</v>
      </c>
      <c r="I8" s="12"/>
      <c r="J8" s="33"/>
      <c r="K8" s="23" t="s">
        <v>7</v>
      </c>
      <c r="L8" s="23" t="s">
        <v>8</v>
      </c>
      <c r="M8" s="25" t="s">
        <v>7</v>
      </c>
      <c r="N8" s="25" t="s">
        <v>8</v>
      </c>
      <c r="O8" s="27" t="s">
        <v>7</v>
      </c>
      <c r="P8" s="27" t="s">
        <v>8</v>
      </c>
      <c r="Q8" s="12"/>
    </row>
    <row r="9" spans="1:17" ht="60" customHeight="1" thickTop="1" x14ac:dyDescent="0.25">
      <c r="A9" s="12"/>
      <c r="B9" s="19"/>
      <c r="C9" s="19"/>
      <c r="D9" s="19"/>
      <c r="E9" s="19"/>
      <c r="F9" s="19"/>
      <c r="G9" s="19"/>
      <c r="H9" s="19"/>
      <c r="I9" s="12"/>
      <c r="J9" s="89">
        <v>46035</v>
      </c>
      <c r="K9" s="36" t="s">
        <v>58</v>
      </c>
      <c r="L9" s="36">
        <v>10</v>
      </c>
      <c r="M9" s="24" t="s">
        <v>59</v>
      </c>
      <c r="N9" s="24">
        <v>30</v>
      </c>
      <c r="O9" s="26" t="s">
        <v>60</v>
      </c>
      <c r="P9" s="26">
        <v>50</v>
      </c>
      <c r="Q9" s="12"/>
    </row>
    <row r="10" spans="1:17" ht="15.95" customHeight="1" thickBot="1" x14ac:dyDescent="0.3">
      <c r="A10" s="12"/>
      <c r="B10" s="5">
        <f t="array" ref="B10:H10">INDEX(calendar,ndx+3)</f>
        <v>46041</v>
      </c>
      <c r="C10" s="11">
        <v>46042</v>
      </c>
      <c r="D10" s="5">
        <v>46043</v>
      </c>
      <c r="E10" s="5">
        <v>46044</v>
      </c>
      <c r="F10" s="5">
        <v>46045</v>
      </c>
      <c r="G10" s="5">
        <v>46046</v>
      </c>
      <c r="H10" s="5">
        <v>46047</v>
      </c>
      <c r="I10" s="12"/>
      <c r="J10" s="40"/>
      <c r="K10" s="23" t="s">
        <v>12</v>
      </c>
      <c r="L10" s="23" t="s">
        <v>9</v>
      </c>
      <c r="M10" s="25" t="s">
        <v>12</v>
      </c>
      <c r="N10" s="25" t="s">
        <v>10</v>
      </c>
      <c r="O10" s="27" t="s">
        <v>12</v>
      </c>
      <c r="P10" s="27" t="s">
        <v>10</v>
      </c>
      <c r="Q10" s="12"/>
    </row>
    <row r="11" spans="1:17" ht="60" customHeight="1" thickTop="1" x14ac:dyDescent="0.25">
      <c r="A11" s="12"/>
      <c r="B11" s="4" t="s">
        <v>77</v>
      </c>
      <c r="C11" s="4" t="s">
        <v>77</v>
      </c>
      <c r="D11" s="4" t="s">
        <v>77</v>
      </c>
      <c r="E11" s="4" t="s">
        <v>74</v>
      </c>
      <c r="F11" s="4" t="s">
        <v>74</v>
      </c>
      <c r="G11" s="4"/>
      <c r="H11" s="4"/>
      <c r="I11" s="12"/>
      <c r="J11" s="40"/>
      <c r="K11" s="22" t="s">
        <v>58</v>
      </c>
      <c r="L11" s="22">
        <v>20</v>
      </c>
      <c r="M11" s="24" t="s">
        <v>59</v>
      </c>
      <c r="N11" s="24">
        <v>40</v>
      </c>
      <c r="O11" s="26" t="s">
        <v>60</v>
      </c>
      <c r="P11" s="26">
        <v>60</v>
      </c>
      <c r="Q11" s="12"/>
    </row>
    <row r="12" spans="1:17" ht="15.95" customHeight="1" thickBot="1" x14ac:dyDescent="0.3">
      <c r="A12" s="12"/>
      <c r="B12" s="5">
        <f t="array" ref="B12:H12">INDEX(calendar,ndx+4)</f>
        <v>46048</v>
      </c>
      <c r="C12" s="5">
        <v>46049</v>
      </c>
      <c r="D12" s="5">
        <v>46050</v>
      </c>
      <c r="E12" s="5">
        <v>46051</v>
      </c>
      <c r="F12" s="5">
        <v>46052</v>
      </c>
      <c r="G12" s="5">
        <v>46053</v>
      </c>
      <c r="H12" s="5">
        <v>46054</v>
      </c>
      <c r="I12" s="12"/>
      <c r="J12" s="33"/>
      <c r="K12" s="23" t="s">
        <v>10</v>
      </c>
      <c r="L12" s="23" t="s">
        <v>11</v>
      </c>
      <c r="M12" s="25" t="s">
        <v>10</v>
      </c>
      <c r="N12" s="25" t="s">
        <v>11</v>
      </c>
      <c r="O12" s="27" t="s">
        <v>10</v>
      </c>
      <c r="P12" s="27" t="s">
        <v>11</v>
      </c>
      <c r="Q12" s="12"/>
    </row>
    <row r="13" spans="1:17" ht="60" customHeight="1" thickTop="1" x14ac:dyDescent="0.25">
      <c r="A13" s="12"/>
      <c r="B13" s="19"/>
      <c r="C13" s="19"/>
      <c r="D13" s="19"/>
      <c r="E13" s="19"/>
      <c r="F13" s="19"/>
      <c r="G13" s="19"/>
      <c r="H13" s="19"/>
      <c r="I13" s="12"/>
      <c r="K13" s="36">
        <v>1</v>
      </c>
      <c r="L13" s="22">
        <v>2</v>
      </c>
      <c r="M13" s="24">
        <v>4</v>
      </c>
      <c r="N13" s="24">
        <v>5</v>
      </c>
      <c r="O13" s="26">
        <v>7</v>
      </c>
      <c r="P13" s="26">
        <v>8</v>
      </c>
      <c r="Q13" s="12"/>
    </row>
    <row r="14" spans="1:17" ht="15.95" customHeight="1" thickBot="1" x14ac:dyDescent="0.3">
      <c r="A14" s="12"/>
      <c r="B14" s="5">
        <f t="array" ref="B14:H14">INDEX(calendar,ndx+5)</f>
        <v>46055</v>
      </c>
      <c r="C14" s="5">
        <v>46056</v>
      </c>
      <c r="D14" s="5">
        <v>46057</v>
      </c>
      <c r="E14" s="5">
        <v>46058</v>
      </c>
      <c r="F14" s="5">
        <v>46059</v>
      </c>
      <c r="G14" s="5">
        <v>46060</v>
      </c>
      <c r="H14" s="5">
        <v>46061</v>
      </c>
      <c r="I14" s="12"/>
      <c r="J14" s="33"/>
      <c r="K14" s="23" t="s">
        <v>14</v>
      </c>
      <c r="L14" s="23"/>
      <c r="M14" s="25" t="s">
        <v>14</v>
      </c>
      <c r="N14" s="25"/>
      <c r="O14" s="27" t="s">
        <v>14</v>
      </c>
      <c r="P14" s="27"/>
      <c r="Q14" s="12"/>
    </row>
    <row r="15" spans="1:17" ht="60" customHeight="1" thickTop="1" x14ac:dyDescent="0.25">
      <c r="A15" s="12"/>
      <c r="B15" s="19"/>
      <c r="C15" s="19"/>
      <c r="D15" s="19" t="s">
        <v>69</v>
      </c>
      <c r="E15" s="19" t="s">
        <v>69</v>
      </c>
      <c r="F15" s="19" t="s">
        <v>69</v>
      </c>
      <c r="G15" s="19" t="s">
        <v>79</v>
      </c>
      <c r="H15" s="19"/>
      <c r="I15" s="12"/>
      <c r="K15" s="36">
        <v>3</v>
      </c>
      <c r="L15" s="22"/>
      <c r="M15" s="24">
        <v>6</v>
      </c>
      <c r="N15" s="24"/>
      <c r="O15" s="26">
        <v>9</v>
      </c>
      <c r="P15" s="26"/>
      <c r="Q15" s="12"/>
    </row>
    <row r="16" spans="1:17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24"/>
      <c r="K16" s="24"/>
      <c r="L16" s="24"/>
      <c r="M16" s="24"/>
      <c r="N16" s="24"/>
      <c r="O16" s="24"/>
      <c r="P16" s="24"/>
      <c r="Q16" s="12"/>
    </row>
  </sheetData>
  <mergeCells count="3">
    <mergeCell ref="C1:D1"/>
    <mergeCell ref="C2:D2"/>
    <mergeCell ref="J1:P1"/>
  </mergeCells>
  <conditionalFormatting sqref="B4:H4">
    <cfRule type="expression" dxfId="49" priority="21">
      <formula>MonthToDisplayNumber&lt;&gt;MONTH(B4)</formula>
    </cfRule>
  </conditionalFormatting>
  <conditionalFormatting sqref="B6:H6">
    <cfRule type="expression" dxfId="48" priority="26">
      <formula>MonthToDisplayNumber&lt;&gt;MONTH(B6)</formula>
    </cfRule>
  </conditionalFormatting>
  <conditionalFormatting sqref="B8:H8">
    <cfRule type="expression" dxfId="47" priority="25">
      <formula>MonthToDisplayNumber&lt;&gt;MONTH(B8)</formula>
    </cfRule>
  </conditionalFormatting>
  <conditionalFormatting sqref="B10:H10">
    <cfRule type="expression" dxfId="46" priority="24">
      <formula>MonthToDisplayNumber&lt;&gt;MONTH(B10)</formula>
    </cfRule>
  </conditionalFormatting>
  <conditionalFormatting sqref="B12:H12">
    <cfRule type="expression" dxfId="45" priority="23">
      <formula>MonthToDisplayNumber&lt;&gt;MONTH(B12)</formula>
    </cfRule>
  </conditionalFormatting>
  <conditionalFormatting sqref="B14:H14">
    <cfRule type="expression" dxfId="44" priority="22">
      <formula>MonthToDisplayNumber&lt;&gt;MONTH(B14)</formula>
    </cfRule>
  </conditionalFormatting>
  <conditionalFormatting sqref="J4:M4">
    <cfRule type="expression" dxfId="43" priority="20">
      <formula>MonthToDisplayNumber&lt;&gt;MONTH(J4)</formula>
    </cfRule>
  </conditionalFormatting>
  <conditionalFormatting sqref="J3:P3">
    <cfRule type="expression" dxfId="42" priority="19">
      <formula>MonthToDisplayNumber&lt;&gt;MONTH(J3)</formula>
    </cfRule>
  </conditionalFormatting>
  <conditionalFormatting sqref="K6 M6 O6">
    <cfRule type="expression" dxfId="41" priority="18">
      <formula>MonthToDisplayNumber&lt;&gt;MONTH(K6)</formula>
    </cfRule>
  </conditionalFormatting>
  <conditionalFormatting sqref="J6">
    <cfRule type="expression" dxfId="40" priority="17">
      <formula>MonthToDisplayNumber&lt;&gt;MONTH(J6)</formula>
    </cfRule>
  </conditionalFormatting>
  <conditionalFormatting sqref="K8:P8">
    <cfRule type="expression" dxfId="39" priority="16">
      <formula>MonthToDisplayNumber&lt;&gt;MONTH(K8)</formula>
    </cfRule>
  </conditionalFormatting>
  <conditionalFormatting sqref="K10:P10">
    <cfRule type="expression" dxfId="38" priority="15">
      <formula>MonthToDisplayNumber&lt;&gt;MONTH(K10)</formula>
    </cfRule>
  </conditionalFormatting>
  <conditionalFormatting sqref="K12:P12">
    <cfRule type="expression" dxfId="37" priority="14">
      <formula>MonthToDisplayNumber&lt;&gt;MONTH(K12)</formula>
    </cfRule>
  </conditionalFormatting>
  <conditionalFormatting sqref="J8">
    <cfRule type="expression" dxfId="36" priority="11">
      <formula>MonthToDisplayNumber&lt;&gt;MONTH(J8)</formula>
    </cfRule>
  </conditionalFormatting>
  <conditionalFormatting sqref="J12">
    <cfRule type="expression" dxfId="35" priority="9">
      <formula>MonthToDisplayNumber&lt;&gt;MONTH(J12)</formula>
    </cfRule>
  </conditionalFormatting>
  <conditionalFormatting sqref="J14">
    <cfRule type="expression" dxfId="34" priority="8">
      <formula>MonthToDisplayNumber&lt;&gt;MONTH(J14)</formula>
    </cfRule>
  </conditionalFormatting>
  <conditionalFormatting sqref="K9 K11 M9 M11 O9 O11">
    <cfRule type="containsText" dxfId="33" priority="5" operator="containsText" text="PASS">
      <formula>NOT(ISERROR(SEARCH("PASS",K9)))</formula>
    </cfRule>
    <cfRule type="containsText" dxfId="32" priority="6" operator="containsText" text="HOLD">
      <formula>NOT(ISERROR(SEARCH("HOLD",K9)))</formula>
    </cfRule>
    <cfRule type="containsText" dxfId="31" priority="7" operator="containsText" text="FAIL">
      <formula>NOT(ISERROR(SEARCH("FAIL",K9)))</formula>
    </cfRule>
  </conditionalFormatting>
  <conditionalFormatting sqref="K14:P14">
    <cfRule type="expression" dxfId="30" priority="1">
      <formula>MonthToDisplayNumber&lt;&gt;MONTH(K14)</formula>
    </cfRule>
  </conditionalFormatting>
  <dataValidations count="13">
    <dataValidation allowBlank="1" showInputMessage="1" showErrorMessage="1" prompt="This row contains the weekday names for this calendar. This cell contains the starting day of week. To change the starting day of the week, enter or select a new weekday in cell E1" sqref="B3" xr:uid="{DC3DD1D4-FB29-4D31-B574-845B6F224B4A}"/>
    <dataValidation allowBlank="1" showInputMessage="1" showErrorMessage="1" prompt="This cell contains the starting day number for the weekday in the heading in row 3 above this cell. If this cell is not the number 1, then it is a day from the previous month. Rows 4, 6, 8, 10, 12 and 14 contain the day number for the day of the week" sqref="B4" xr:uid="{F44078A0-0489-4701-BDAF-74962E50232E}"/>
    <dataValidation allowBlank="1" showInputMessage="1" showErrorMessage="1" prompt="Rows 12 and 14 may contain dates for the following month if the end of this month concludes in either row" sqref="B12" xr:uid="{B4E55D7A-C0D2-4D8E-AD0A-EDC59C14501B}"/>
    <dataValidation allowBlank="1" showInputMessage="1" showErrorMessage="1" prompt="Enter daily notes in this cell. Rows 5, 7, 9, 11, 13 and 15 have cells beneath the day of the week for daily notes" sqref="B5" xr:uid="{BDC2CE3A-E774-46C3-9C1C-8BA2320EB19E}"/>
    <dataValidation allowBlank="1" showInputMessage="1" showErrorMessage="1" prompt="Enter the year for this calendar month" sqref="B1" xr:uid="{1E5E55A1-9BEC-4D36-A100-6E2DADAF8022}"/>
    <dataValidation allowBlank="1" showInputMessage="1" showErrorMessage="1" prompt="This calendar is a one-month calendar for any year and any month. Select the month in C1 and enter a year in B1. Select the calendar’s starting day of the week in E1. Enter daily notes in rows 5, 7, 9, 11, 13 and 15" sqref="Q1 I1 A1" xr:uid="{8B3CBF0E-A520-42DF-96F8-BA4E0A79058A}"/>
    <dataValidation type="list" allowBlank="1" showInputMessage="1" showErrorMessage="1" error="Only valid month names will work for this calendar. Either type in the full month name or select one from the list. Select RETRY then ALT+DOWN ARROW, and the press ENTER to pick from the list. Select CANCEL to exit the cell " prompt="Select the month for this calendar. Type the full month name or press ALT+DOWN ARROW to navigate through the list, then ENTER to select a month" sqref="C1:D1" xr:uid="{A15A285F-8DDE-4C36-9ADD-D3E58454437A}">
      <formula1>"January,February,March,April,May,June,July,August,September,October,November,December"</formula1>
    </dataValidation>
    <dataValidation type="list" allowBlank="1" showInputMessage="1" showErrorMessage="1" error="Only valid weekday names will work for this calendar. Either select RETRY and type the full weekday name or select RETRY and press ALT+DOWN ARROW, then press ENTER to pick from the list. Select CANCEL to exit the cell " prompt="Select the starting day of the week for this calendar. Type the full weekday name or press ALT+DOWN ARROW to navigate through the list, then press ENTER to select a weekday" sqref="E1" xr:uid="{04CF7F5E-0CBA-4F42-8357-89B0D48A1B2B}">
      <formula1>"MONDAY,TUESDAY,WEDNESDAY,THURSDAY,FRIDAY,SATURDAY,SUNDAY"</formula1>
    </dataValidation>
    <dataValidation type="list" allowBlank="1" showInputMessage="1" showErrorMessage="1" sqref="K9 M9 O9 O11 M11 K11" xr:uid="{4D4EF80B-EE9F-433C-B84F-5C1F3C56C515}">
      <formula1>Result_List</formula1>
    </dataValidation>
    <dataValidation type="list" allowBlank="1" showInputMessage="1" showErrorMessage="1" sqref="K7 M7 O7" xr:uid="{FDBEE8FE-5769-4A10-B3CD-04E4FD1DE2A0}">
      <formula1>Trainees_Names_List</formula1>
    </dataValidation>
    <dataValidation type="list" allowBlank="1" showInputMessage="1" showErrorMessage="1" sqref="K5" xr:uid="{A3F594A0-2838-4DC1-AA04-8483700C5965}">
      <formula1>Course_Type</formula1>
    </dataValidation>
    <dataValidation type="list" allowBlank="1" showInputMessage="1" showErrorMessage="1" sqref="L5" xr:uid="{211DF1A9-A900-4398-947C-CB6910D23D30}">
      <formula1>Truck_Type</formula1>
    </dataValidation>
    <dataValidation type="list" allowBlank="1" showInputMessage="1" showErrorMessage="1" sqref="M5" xr:uid="{4987DE39-AA03-4A2F-8320-72C752FE5264}">
      <formula1>Trainer_List</formula1>
    </dataValidation>
  </dataValidations>
  <printOptions horizontalCentered="1"/>
  <pageMargins left="0.45" right="0.45" top="0.4" bottom="0.5" header="0.3" footer="0.3"/>
  <pageSetup paperSize="9" scale="47" fitToHeight="0" orientation="landscape" r:id="rId1"/>
  <headerFooter differentFirst="1">
    <oddFooter>Page 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B4C95-629C-4CAD-BEDD-C9F71494EA75}">
  <sheetPr codeName="Sheet6"/>
  <dimension ref="B2:Q18"/>
  <sheetViews>
    <sheetView workbookViewId="0">
      <selection activeCell="R10" sqref="R10"/>
    </sheetView>
  </sheetViews>
  <sheetFormatPr defaultRowHeight="15" x14ac:dyDescent="0.25"/>
  <cols>
    <col min="2" max="8" width="10.42578125" bestFit="1" customWidth="1"/>
    <col min="11" max="11" width="10.42578125" bestFit="1" customWidth="1"/>
  </cols>
  <sheetData>
    <row r="2" spans="2:17" x14ac:dyDescent="0.25">
      <c r="K2" t="s">
        <v>66</v>
      </c>
    </row>
    <row r="3" spans="2:17" x14ac:dyDescent="0.25">
      <c r="B3" s="98" cm="1">
        <f t="array" ref="B3:H9">Calendar!daygrid+Calendar!firstdate-WEEKDAY(Calendar!firstdate)-Calendar!weekday_option</f>
        <v>46013</v>
      </c>
      <c r="C3" s="98">
        <v>46014</v>
      </c>
      <c r="D3" s="98">
        <v>46015</v>
      </c>
      <c r="E3" s="98">
        <v>46016</v>
      </c>
      <c r="F3" s="98">
        <v>46017</v>
      </c>
      <c r="G3" s="98">
        <v>46018</v>
      </c>
      <c r="H3" s="98">
        <v>46019</v>
      </c>
      <c r="K3" s="98" cm="1">
        <f t="array" ref="K3">DATE(Calendar!YearToDisplay,Calendar!month,1)</f>
        <v>46023</v>
      </c>
    </row>
    <row r="4" spans="2:17" x14ac:dyDescent="0.25">
      <c r="B4" s="98">
        <v>46020</v>
      </c>
      <c r="C4" s="98">
        <v>46021</v>
      </c>
      <c r="D4" s="98">
        <v>46022</v>
      </c>
      <c r="E4" s="98">
        <v>46023</v>
      </c>
      <c r="F4" s="98">
        <v>46024</v>
      </c>
      <c r="G4" s="98">
        <v>46025</v>
      </c>
      <c r="H4" s="98">
        <v>46026</v>
      </c>
      <c r="K4" t="s">
        <v>67</v>
      </c>
    </row>
    <row r="5" spans="2:17" x14ac:dyDescent="0.25">
      <c r="B5" s="98">
        <v>46027</v>
      </c>
      <c r="C5" s="98">
        <v>46028</v>
      </c>
      <c r="D5" s="98">
        <v>46029</v>
      </c>
      <c r="E5" s="98">
        <v>46030</v>
      </c>
      <c r="F5" s="98">
        <v>46031</v>
      </c>
      <c r="G5" s="98">
        <v>46032</v>
      </c>
      <c r="H5" s="98">
        <v>46033</v>
      </c>
      <c r="K5">
        <f>MATCH(Calendar!DayToStart,Calendar!weekdays_reversed,0)-2</f>
        <v>5</v>
      </c>
    </row>
    <row r="6" spans="2:17" x14ac:dyDescent="0.25">
      <c r="B6" s="98">
        <v>46034</v>
      </c>
      <c r="C6" s="98">
        <v>46035</v>
      </c>
      <c r="D6" s="98">
        <v>46036</v>
      </c>
      <c r="E6" s="98">
        <v>46037</v>
      </c>
      <c r="F6" s="98">
        <v>46038</v>
      </c>
      <c r="G6" s="98">
        <v>46039</v>
      </c>
      <c r="H6" s="98">
        <v>46040</v>
      </c>
      <c r="K6" t="s">
        <v>68</v>
      </c>
    </row>
    <row r="7" spans="2:17" x14ac:dyDescent="0.25">
      <c r="B7" s="98">
        <v>46041</v>
      </c>
      <c r="C7" s="98">
        <v>46042</v>
      </c>
      <c r="D7" s="98">
        <v>46043</v>
      </c>
      <c r="E7" s="98">
        <v>46044</v>
      </c>
      <c r="F7" s="98">
        <v>46045</v>
      </c>
      <c r="G7" s="98">
        <v>46046</v>
      </c>
      <c r="H7" s="98">
        <v>46047</v>
      </c>
      <c r="K7" t="str" cm="1">
        <f t="array" ref="K7:Q7">{"Sunday","Saturday","Friday","Thursday","Wednesday","Tuesday","Monday"}</f>
        <v>Sunday</v>
      </c>
      <c r="L7" t="str">
        <v>Saturday</v>
      </c>
      <c r="M7" t="str">
        <v>Friday</v>
      </c>
      <c r="N7" t="str">
        <v>Thursday</v>
      </c>
      <c r="O7" t="str">
        <v>Wednesday</v>
      </c>
      <c r="P7" t="str">
        <v>Tuesday</v>
      </c>
      <c r="Q7" t="str">
        <v>Monday</v>
      </c>
    </row>
    <row r="8" spans="2:17" x14ac:dyDescent="0.25">
      <c r="B8" s="98">
        <v>46048</v>
      </c>
      <c r="C8" s="98">
        <v>46049</v>
      </c>
      <c r="D8" s="98">
        <v>46050</v>
      </c>
      <c r="E8" s="98">
        <v>46051</v>
      </c>
      <c r="F8" s="98">
        <v>46052</v>
      </c>
      <c r="G8" s="98">
        <v>46053</v>
      </c>
      <c r="H8" s="98">
        <v>46054</v>
      </c>
    </row>
    <row r="9" spans="2:17" x14ac:dyDescent="0.25">
      <c r="B9" s="98">
        <v>46055</v>
      </c>
      <c r="C9" s="98">
        <v>46056</v>
      </c>
      <c r="D9" s="98">
        <v>46057</v>
      </c>
      <c r="E9" s="98">
        <v>46058</v>
      </c>
      <c r="F9" s="98">
        <v>46059</v>
      </c>
      <c r="G9" s="98">
        <v>46060</v>
      </c>
      <c r="H9" s="98">
        <v>46061</v>
      </c>
    </row>
    <row r="11" spans="2:17" x14ac:dyDescent="0.25">
      <c r="B11" t="s">
        <v>65</v>
      </c>
    </row>
    <row r="12" spans="2:17" x14ac:dyDescent="0.25">
      <c r="B12" cm="1">
        <f t="array" ref="B12:H18">Calendar!days+Calendar!weeks*7</f>
        <v>0</v>
      </c>
      <c r="C12">
        <v>1</v>
      </c>
      <c r="D12">
        <v>2</v>
      </c>
      <c r="E12">
        <v>3</v>
      </c>
      <c r="F12">
        <v>4</v>
      </c>
      <c r="G12">
        <v>5</v>
      </c>
      <c r="H12">
        <v>6</v>
      </c>
      <c r="J12" cm="1">
        <f t="array" ref="J12:P18">Calendar!days+Calendar!weeks*7</f>
        <v>0</v>
      </c>
      <c r="K12">
        <v>1</v>
      </c>
      <c r="L12">
        <v>2</v>
      </c>
      <c r="M12">
        <v>3</v>
      </c>
      <c r="N12">
        <v>4</v>
      </c>
      <c r="O12">
        <v>5</v>
      </c>
      <c r="P12">
        <v>6</v>
      </c>
    </row>
    <row r="13" spans="2:17" x14ac:dyDescent="0.25">
      <c r="B13">
        <v>7</v>
      </c>
      <c r="C13">
        <v>8</v>
      </c>
      <c r="D13">
        <v>9</v>
      </c>
      <c r="E13">
        <v>10</v>
      </c>
      <c r="F13">
        <v>11</v>
      </c>
      <c r="G13">
        <v>12</v>
      </c>
      <c r="H13">
        <v>13</v>
      </c>
      <c r="J13">
        <v>7</v>
      </c>
      <c r="K13">
        <v>8</v>
      </c>
      <c r="L13">
        <v>9</v>
      </c>
      <c r="M13">
        <v>10</v>
      </c>
      <c r="N13">
        <v>11</v>
      </c>
      <c r="O13">
        <v>12</v>
      </c>
      <c r="P13">
        <v>13</v>
      </c>
    </row>
    <row r="14" spans="2:17" x14ac:dyDescent="0.25">
      <c r="B14">
        <v>14</v>
      </c>
      <c r="C14">
        <v>15</v>
      </c>
      <c r="D14">
        <v>16</v>
      </c>
      <c r="E14">
        <v>17</v>
      </c>
      <c r="F14">
        <v>18</v>
      </c>
      <c r="G14">
        <v>19</v>
      </c>
      <c r="H14">
        <v>20</v>
      </c>
      <c r="J14">
        <v>14</v>
      </c>
      <c r="K14">
        <v>15</v>
      </c>
      <c r="L14">
        <v>16</v>
      </c>
      <c r="M14">
        <v>17</v>
      </c>
      <c r="N14">
        <v>18</v>
      </c>
      <c r="O14">
        <v>19</v>
      </c>
      <c r="P14">
        <v>20</v>
      </c>
    </row>
    <row r="15" spans="2:17" x14ac:dyDescent="0.25">
      <c r="B15">
        <v>21</v>
      </c>
      <c r="C15">
        <v>22</v>
      </c>
      <c r="D15">
        <v>23</v>
      </c>
      <c r="E15">
        <v>24</v>
      </c>
      <c r="F15">
        <v>25</v>
      </c>
      <c r="G15">
        <v>26</v>
      </c>
      <c r="H15">
        <v>27</v>
      </c>
      <c r="J15">
        <v>21</v>
      </c>
      <c r="K15">
        <v>22</v>
      </c>
      <c r="L15">
        <v>23</v>
      </c>
      <c r="M15">
        <v>24</v>
      </c>
      <c r="N15">
        <v>25</v>
      </c>
      <c r="O15">
        <v>26</v>
      </c>
      <c r="P15">
        <v>27</v>
      </c>
    </row>
    <row r="16" spans="2:17" x14ac:dyDescent="0.25">
      <c r="B16">
        <v>28</v>
      </c>
      <c r="C16">
        <v>29</v>
      </c>
      <c r="D16">
        <v>30</v>
      </c>
      <c r="E16">
        <v>31</v>
      </c>
      <c r="F16">
        <v>32</v>
      </c>
      <c r="G16">
        <v>33</v>
      </c>
      <c r="H16">
        <v>34</v>
      </c>
      <c r="J16">
        <v>28</v>
      </c>
      <c r="K16">
        <v>29</v>
      </c>
      <c r="L16">
        <v>30</v>
      </c>
      <c r="M16">
        <v>31</v>
      </c>
      <c r="N16">
        <v>32</v>
      </c>
      <c r="O16">
        <v>33</v>
      </c>
      <c r="P16">
        <v>34</v>
      </c>
    </row>
    <row r="17" spans="2:16" x14ac:dyDescent="0.25">
      <c r="B17">
        <v>35</v>
      </c>
      <c r="C17">
        <v>36</v>
      </c>
      <c r="D17">
        <v>37</v>
      </c>
      <c r="E17">
        <v>38</v>
      </c>
      <c r="F17">
        <v>39</v>
      </c>
      <c r="G17">
        <v>40</v>
      </c>
      <c r="H17">
        <v>41</v>
      </c>
      <c r="J17">
        <v>35</v>
      </c>
      <c r="K17">
        <v>36</v>
      </c>
      <c r="L17">
        <v>37</v>
      </c>
      <c r="M17">
        <v>38</v>
      </c>
      <c r="N17">
        <v>39</v>
      </c>
      <c r="O17">
        <v>40</v>
      </c>
      <c r="P17">
        <v>41</v>
      </c>
    </row>
    <row r="18" spans="2:16" x14ac:dyDescent="0.25">
      <c r="B18">
        <v>42</v>
      </c>
      <c r="C18">
        <v>43</v>
      </c>
      <c r="D18">
        <v>44</v>
      </c>
      <c r="E18">
        <v>45</v>
      </c>
      <c r="F18">
        <v>46</v>
      </c>
      <c r="G18">
        <v>47</v>
      </c>
      <c r="H18">
        <v>48</v>
      </c>
      <c r="J18">
        <v>42</v>
      </c>
      <c r="K18">
        <v>43</v>
      </c>
      <c r="L18">
        <v>44</v>
      </c>
      <c r="M18">
        <v>45</v>
      </c>
      <c r="N18">
        <v>46</v>
      </c>
      <c r="O18">
        <v>47</v>
      </c>
      <c r="P18">
        <v>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BD5-4DA7-4D11-82B6-A2F6D392375E}">
  <sheetPr codeName="Sheet2"/>
  <dimension ref="A1:AI500"/>
  <sheetViews>
    <sheetView zoomScale="90" zoomScaleNormal="90" workbookViewId="0">
      <selection activeCell="H20" sqref="H20"/>
    </sheetView>
  </sheetViews>
  <sheetFormatPr defaultColWidth="14.5703125" defaultRowHeight="15" x14ac:dyDescent="0.25"/>
  <cols>
    <col min="1" max="1" width="15.42578125" style="30" bestFit="1" customWidth="1"/>
    <col min="2" max="2" width="12.28515625" style="30" bestFit="1" customWidth="1"/>
    <col min="3" max="3" width="14.5703125" style="30"/>
    <col min="4" max="4" width="11.28515625" style="30" bestFit="1" customWidth="1"/>
    <col min="5" max="5" width="10" style="31" bestFit="1" customWidth="1"/>
    <col min="6" max="6" width="9.85546875" style="31" bestFit="1" customWidth="1"/>
    <col min="7" max="7" width="10.140625" style="32" bestFit="1" customWidth="1"/>
    <col min="8" max="10" width="15" style="30" bestFit="1" customWidth="1"/>
    <col min="11" max="11" width="11.5703125" style="30" bestFit="1" customWidth="1"/>
    <col min="12" max="12" width="13.5703125" style="30" bestFit="1" customWidth="1"/>
    <col min="13" max="13" width="9.140625" style="30" bestFit="1" customWidth="1"/>
    <col min="14" max="14" width="15.140625" style="30" bestFit="1" customWidth="1"/>
    <col min="15" max="15" width="10.7109375" style="30" bestFit="1" customWidth="1"/>
    <col min="16" max="16" width="13.42578125" style="30" bestFit="1" customWidth="1"/>
    <col min="17" max="17" width="9.28515625" style="30" bestFit="1" customWidth="1"/>
    <col min="18" max="18" width="18.7109375" style="30" bestFit="1" customWidth="1"/>
    <col min="19" max="19" width="11.85546875" style="30" bestFit="1" customWidth="1"/>
    <col min="20" max="20" width="13.5703125" style="30" bestFit="1" customWidth="1"/>
    <col min="21" max="21" width="9.140625" style="30" bestFit="1" customWidth="1"/>
    <col min="22" max="22" width="15.140625" style="30" bestFit="1" customWidth="1"/>
    <col min="23" max="23" width="10.7109375" style="30" bestFit="1" customWidth="1"/>
    <col min="24" max="24" width="13.42578125" style="30" bestFit="1" customWidth="1"/>
    <col min="25" max="25" width="9.28515625" style="30" bestFit="1" customWidth="1"/>
    <col min="26" max="26" width="18.7109375" style="30" bestFit="1" customWidth="1"/>
    <col min="27" max="27" width="11.85546875" style="30" bestFit="1" customWidth="1"/>
    <col min="28" max="28" width="13.5703125" style="30" bestFit="1" customWidth="1"/>
    <col min="29" max="29" width="9.140625" style="30" bestFit="1" customWidth="1"/>
    <col min="30" max="30" width="15.140625" style="30" bestFit="1" customWidth="1"/>
    <col min="31" max="31" width="10.7109375" style="30" bestFit="1" customWidth="1"/>
    <col min="32" max="32" width="13.42578125" style="30" bestFit="1" customWidth="1"/>
    <col min="33" max="33" width="9.28515625" style="30" bestFit="1" customWidth="1"/>
    <col min="34" max="34" width="18.7109375" style="30" bestFit="1" customWidth="1"/>
    <col min="35" max="35" width="11.85546875" style="30" bestFit="1" customWidth="1"/>
    <col min="36" max="16384" width="14.5703125" style="30"/>
  </cols>
  <sheetData>
    <row r="1" spans="1:35" x14ac:dyDescent="0.25">
      <c r="L1" s="102" t="s">
        <v>26</v>
      </c>
      <c r="M1" s="102"/>
      <c r="N1" s="102"/>
      <c r="O1" s="102"/>
      <c r="P1" s="102"/>
      <c r="Q1" s="102"/>
      <c r="R1" s="102"/>
      <c r="S1" s="37"/>
      <c r="T1" s="103" t="s">
        <v>27</v>
      </c>
      <c r="U1" s="103"/>
      <c r="V1" s="103"/>
      <c r="W1" s="103"/>
      <c r="X1" s="103"/>
      <c r="Y1" s="103"/>
      <c r="Z1" s="103"/>
      <c r="AA1" s="38"/>
      <c r="AB1" s="104" t="s">
        <v>28</v>
      </c>
      <c r="AC1" s="104"/>
      <c r="AD1" s="104"/>
      <c r="AE1" s="104"/>
      <c r="AF1" s="104"/>
      <c r="AG1" s="104"/>
      <c r="AH1" s="104"/>
      <c r="AI1" s="39"/>
    </row>
    <row r="2" spans="1:35" x14ac:dyDescent="0.25">
      <c r="A2" s="72" t="s">
        <v>0</v>
      </c>
      <c r="B2" s="72" t="s">
        <v>13</v>
      </c>
      <c r="C2" s="72" t="s">
        <v>1</v>
      </c>
      <c r="D2" s="72" t="s">
        <v>2</v>
      </c>
      <c r="E2" s="73" t="s">
        <v>3</v>
      </c>
      <c r="F2" s="73" t="s">
        <v>4</v>
      </c>
      <c r="G2" s="74" t="s">
        <v>5</v>
      </c>
      <c r="H2" s="72" t="s">
        <v>26</v>
      </c>
      <c r="I2" s="72" t="s">
        <v>27</v>
      </c>
      <c r="J2" s="72" t="s">
        <v>28</v>
      </c>
      <c r="K2" s="72" t="s">
        <v>32</v>
      </c>
      <c r="L2" s="72" t="s">
        <v>7</v>
      </c>
      <c r="M2" s="72" t="s">
        <v>8</v>
      </c>
      <c r="N2" s="72" t="s">
        <v>12</v>
      </c>
      <c r="O2" s="72" t="s">
        <v>9</v>
      </c>
      <c r="P2" s="72" t="s">
        <v>10</v>
      </c>
      <c r="Q2" s="72" t="s">
        <v>11</v>
      </c>
      <c r="R2" s="72" t="s">
        <v>14</v>
      </c>
      <c r="S2" s="72" t="s">
        <v>6</v>
      </c>
      <c r="T2" s="72" t="s">
        <v>7</v>
      </c>
      <c r="U2" s="72" t="s">
        <v>8</v>
      </c>
      <c r="V2" s="72" t="s">
        <v>12</v>
      </c>
      <c r="W2" s="72" t="s">
        <v>9</v>
      </c>
      <c r="X2" s="72" t="s">
        <v>10</v>
      </c>
      <c r="Y2" s="72" t="s">
        <v>11</v>
      </c>
      <c r="Z2" s="72" t="s">
        <v>14</v>
      </c>
      <c r="AA2" s="72" t="s">
        <v>6</v>
      </c>
      <c r="AB2" s="72" t="s">
        <v>7</v>
      </c>
      <c r="AC2" s="72" t="s">
        <v>8</v>
      </c>
      <c r="AD2" s="72" t="s">
        <v>12</v>
      </c>
      <c r="AE2" s="72" t="s">
        <v>9</v>
      </c>
      <c r="AF2" s="72" t="s">
        <v>10</v>
      </c>
      <c r="AG2" s="72" t="s">
        <v>11</v>
      </c>
      <c r="AH2" s="72" t="s">
        <v>14</v>
      </c>
      <c r="AI2" s="72" t="s">
        <v>6</v>
      </c>
    </row>
    <row r="3" spans="1:35" ht="14.45" customHeight="1" x14ac:dyDescent="0.25">
      <c r="A3" s="29">
        <v>1</v>
      </c>
      <c r="B3" s="69" t="s">
        <v>23</v>
      </c>
      <c r="C3" s="29" t="s">
        <v>24</v>
      </c>
      <c r="D3" s="29" t="s">
        <v>33</v>
      </c>
      <c r="E3" s="70">
        <v>46057</v>
      </c>
      <c r="F3" s="70">
        <v>46059</v>
      </c>
      <c r="G3" s="71">
        <v>0.33333333333333331</v>
      </c>
      <c r="H3" s="29" t="s">
        <v>55</v>
      </c>
      <c r="I3" s="29" t="s">
        <v>63</v>
      </c>
      <c r="J3" s="29" t="s">
        <v>55</v>
      </c>
      <c r="K3" s="69">
        <v>46035</v>
      </c>
      <c r="L3" s="29" t="s">
        <v>58</v>
      </c>
      <c r="M3" s="29">
        <v>10</v>
      </c>
      <c r="N3" s="29" t="s">
        <v>58</v>
      </c>
      <c r="O3" s="29">
        <v>20</v>
      </c>
      <c r="P3" s="29">
        <v>1</v>
      </c>
      <c r="Q3" s="29">
        <v>2</v>
      </c>
      <c r="R3" s="29">
        <v>3</v>
      </c>
      <c r="S3" s="29" t="s">
        <v>56</v>
      </c>
      <c r="T3" s="29" t="s">
        <v>59</v>
      </c>
      <c r="U3" s="29">
        <v>30</v>
      </c>
      <c r="V3" s="29" t="s">
        <v>59</v>
      </c>
      <c r="W3" s="29">
        <v>40</v>
      </c>
      <c r="X3" s="29">
        <v>4</v>
      </c>
      <c r="Y3" s="29">
        <v>5</v>
      </c>
      <c r="Z3" s="29">
        <v>6</v>
      </c>
      <c r="AA3" s="29" t="s">
        <v>70</v>
      </c>
      <c r="AB3" s="29" t="s">
        <v>60</v>
      </c>
      <c r="AC3" s="29">
        <v>50</v>
      </c>
      <c r="AD3" s="29" t="s">
        <v>60</v>
      </c>
      <c r="AE3" s="29">
        <v>60</v>
      </c>
      <c r="AF3" s="29">
        <v>7</v>
      </c>
      <c r="AG3" s="29">
        <v>8</v>
      </c>
      <c r="AH3" s="29">
        <v>9</v>
      </c>
      <c r="AI3" s="29" t="s">
        <v>71</v>
      </c>
    </row>
    <row r="4" spans="1:35" ht="14.45" customHeight="1" x14ac:dyDescent="0.25">
      <c r="A4" s="29">
        <v>2</v>
      </c>
      <c r="B4" s="69" t="s">
        <v>23</v>
      </c>
      <c r="C4" s="29" t="s">
        <v>24</v>
      </c>
      <c r="D4" s="29" t="s">
        <v>54</v>
      </c>
      <c r="E4" s="70">
        <v>46060</v>
      </c>
      <c r="F4" s="70">
        <v>46060</v>
      </c>
      <c r="G4" s="71">
        <v>0.375</v>
      </c>
      <c r="H4" s="29" t="s">
        <v>15</v>
      </c>
      <c r="I4" s="29"/>
      <c r="J4" s="29"/>
      <c r="K4" s="69">
        <v>46035</v>
      </c>
      <c r="L4" s="29" t="s">
        <v>60</v>
      </c>
      <c r="M4" s="29">
        <v>80</v>
      </c>
      <c r="N4" s="29" t="s">
        <v>58</v>
      </c>
      <c r="O4" s="29">
        <v>70</v>
      </c>
      <c r="P4" s="29" t="s">
        <v>78</v>
      </c>
      <c r="Q4" s="29">
        <v>4</v>
      </c>
      <c r="R4" s="29"/>
      <c r="S4" s="29" t="s">
        <v>56</v>
      </c>
      <c r="T4" s="29"/>
      <c r="U4" s="29">
        <v>0</v>
      </c>
      <c r="V4" s="29"/>
      <c r="W4" s="29">
        <v>0</v>
      </c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</row>
    <row r="5" spans="1:35" ht="14.45" customHeight="1" x14ac:dyDescent="0.25">
      <c r="A5" s="29">
        <v>3</v>
      </c>
      <c r="B5" s="69" t="s">
        <v>38</v>
      </c>
      <c r="C5" s="29" t="s">
        <v>43</v>
      </c>
      <c r="D5" s="29" t="s">
        <v>54</v>
      </c>
      <c r="E5" s="70">
        <v>46062</v>
      </c>
      <c r="F5" s="70">
        <v>46062</v>
      </c>
      <c r="G5" s="71">
        <v>0.25</v>
      </c>
      <c r="H5" s="29" t="s">
        <v>55</v>
      </c>
      <c r="I5" s="29"/>
      <c r="J5" s="29"/>
      <c r="K5" s="69">
        <v>46032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</row>
    <row r="6" spans="1:35" ht="14.45" customHeight="1" x14ac:dyDescent="0.25">
      <c r="A6" s="29">
        <v>4</v>
      </c>
      <c r="B6" s="69" t="s">
        <v>23</v>
      </c>
      <c r="C6" s="29" t="s">
        <v>44</v>
      </c>
      <c r="D6" s="29" t="s">
        <v>54</v>
      </c>
      <c r="E6" s="70">
        <v>46041</v>
      </c>
      <c r="F6" s="70">
        <v>46043</v>
      </c>
      <c r="G6" s="71">
        <v>0.25</v>
      </c>
      <c r="H6" s="29" t="s">
        <v>72</v>
      </c>
      <c r="I6" s="29"/>
      <c r="J6" s="29"/>
      <c r="K6" s="69">
        <v>46035</v>
      </c>
      <c r="L6" s="29" t="s">
        <v>58</v>
      </c>
      <c r="M6" s="29">
        <v>90</v>
      </c>
      <c r="N6" s="29" t="s">
        <v>58</v>
      </c>
      <c r="O6" s="29">
        <v>85</v>
      </c>
      <c r="P6" s="29">
        <v>100</v>
      </c>
      <c r="Q6" s="29">
        <v>1</v>
      </c>
      <c r="R6" s="29" t="s">
        <v>76</v>
      </c>
      <c r="S6" s="29" t="s">
        <v>75</v>
      </c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</row>
    <row r="7" spans="1:35" ht="14.45" customHeight="1" x14ac:dyDescent="0.25">
      <c r="A7" s="29">
        <v>5</v>
      </c>
      <c r="B7" s="69" t="s">
        <v>38</v>
      </c>
      <c r="C7" s="29" t="s">
        <v>43</v>
      </c>
      <c r="D7" s="29" t="s">
        <v>54</v>
      </c>
      <c r="E7" s="70">
        <v>46044</v>
      </c>
      <c r="F7" s="70">
        <v>46045</v>
      </c>
      <c r="G7" s="71">
        <v>0.25</v>
      </c>
      <c r="H7" s="29" t="s">
        <v>73</v>
      </c>
      <c r="I7" s="29"/>
      <c r="J7" s="29"/>
      <c r="K7" s="69">
        <v>46035</v>
      </c>
      <c r="L7" s="29" t="s">
        <v>58</v>
      </c>
      <c r="M7" s="29">
        <v>100</v>
      </c>
      <c r="N7" s="29" t="s">
        <v>59</v>
      </c>
      <c r="O7" s="29">
        <v>0</v>
      </c>
      <c r="P7" s="29"/>
      <c r="Q7" s="29"/>
      <c r="R7" s="29"/>
      <c r="S7" s="29" t="s">
        <v>56</v>
      </c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</row>
    <row r="8" spans="1:35" ht="14.45" customHeight="1" x14ac:dyDescent="0.25">
      <c r="A8" s="29"/>
      <c r="B8" s="69"/>
      <c r="C8" s="29"/>
      <c r="D8" s="29"/>
      <c r="E8" s="70"/>
      <c r="F8" s="70"/>
      <c r="G8" s="71"/>
      <c r="H8" s="29"/>
      <c r="I8" s="29"/>
      <c r="J8" s="29"/>
      <c r="K8" s="6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</row>
    <row r="9" spans="1:35" ht="14.45" customHeight="1" x14ac:dyDescent="0.25">
      <c r="A9" s="29"/>
      <c r="B9" s="69"/>
      <c r="C9" s="29"/>
      <c r="D9" s="29"/>
      <c r="E9" s="70"/>
      <c r="F9" s="70"/>
      <c r="G9" s="71"/>
      <c r="H9" s="29"/>
      <c r="I9" s="29"/>
      <c r="J9" s="29"/>
      <c r="K9" s="6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</row>
    <row r="10" spans="1:35" ht="14.45" customHeight="1" x14ac:dyDescent="0.25">
      <c r="A10" s="29"/>
      <c r="B10" s="69"/>
      <c r="C10" s="29"/>
      <c r="D10" s="29"/>
      <c r="E10" s="70"/>
      <c r="F10" s="70"/>
      <c r="G10" s="71"/>
      <c r="H10" s="29"/>
      <c r="I10" s="29"/>
      <c r="J10" s="29"/>
      <c r="K10" s="6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</row>
    <row r="11" spans="1:35" ht="14.45" customHeight="1" x14ac:dyDescent="0.25">
      <c r="A11" s="29"/>
      <c r="B11" s="69"/>
      <c r="C11" s="29"/>
      <c r="D11" s="29"/>
      <c r="E11" s="70"/>
      <c r="F11" s="70"/>
      <c r="G11" s="71"/>
      <c r="H11" s="29"/>
      <c r="I11" s="29"/>
      <c r="J11" s="29"/>
      <c r="K11" s="6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</row>
    <row r="12" spans="1:35" ht="14.45" customHeight="1" x14ac:dyDescent="0.25">
      <c r="A12" s="29"/>
      <c r="B12" s="69"/>
      <c r="C12" s="29"/>
      <c r="D12" s="29"/>
      <c r="E12" s="70"/>
      <c r="F12" s="70"/>
      <c r="G12" s="71"/>
      <c r="H12" s="29"/>
      <c r="I12" s="29"/>
      <c r="J12" s="29"/>
      <c r="K12" s="6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</row>
    <row r="13" spans="1:35" ht="14.45" customHeight="1" x14ac:dyDescent="0.25">
      <c r="A13" s="29"/>
      <c r="B13" s="69"/>
      <c r="C13" s="29"/>
      <c r="D13" s="29"/>
      <c r="E13" s="70"/>
      <c r="F13" s="70"/>
      <c r="G13" s="71"/>
      <c r="H13" s="29"/>
      <c r="I13" s="29"/>
      <c r="J13" s="29"/>
      <c r="K13" s="6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</row>
    <row r="14" spans="1:35" ht="14.45" customHeight="1" x14ac:dyDescent="0.25">
      <c r="A14" s="29"/>
      <c r="B14" s="69"/>
      <c r="C14" s="29"/>
      <c r="D14" s="29"/>
      <c r="E14" s="70"/>
      <c r="F14" s="70"/>
      <c r="G14" s="71"/>
      <c r="H14" s="29"/>
      <c r="I14" s="29"/>
      <c r="J14" s="29"/>
      <c r="K14" s="6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</row>
    <row r="15" spans="1:35" ht="14.45" customHeight="1" x14ac:dyDescent="0.25">
      <c r="A15" s="29"/>
      <c r="B15" s="69"/>
      <c r="C15" s="29"/>
      <c r="D15" s="29"/>
      <c r="E15" s="70"/>
      <c r="F15" s="70"/>
      <c r="G15" s="71"/>
      <c r="H15" s="29"/>
      <c r="I15" s="29"/>
      <c r="J15" s="29"/>
      <c r="K15" s="6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</row>
    <row r="16" spans="1:35" ht="14.45" customHeight="1" x14ac:dyDescent="0.25">
      <c r="A16" s="29"/>
      <c r="B16" s="69"/>
      <c r="C16" s="29"/>
      <c r="D16" s="29"/>
      <c r="E16" s="70"/>
      <c r="F16" s="70"/>
      <c r="G16" s="71"/>
      <c r="H16" s="29"/>
      <c r="I16" s="29"/>
      <c r="J16" s="29"/>
      <c r="K16" s="6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</row>
    <row r="17" spans="1:35" ht="14.45" customHeight="1" x14ac:dyDescent="0.25">
      <c r="A17" s="29"/>
      <c r="B17" s="69"/>
      <c r="C17" s="29"/>
      <c r="D17" s="29"/>
      <c r="E17" s="70"/>
      <c r="F17" s="70"/>
      <c r="G17" s="71"/>
      <c r="H17" s="29"/>
      <c r="I17" s="29"/>
      <c r="J17" s="29"/>
      <c r="K17" s="6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</row>
    <row r="18" spans="1:35" ht="14.45" customHeight="1" x14ac:dyDescent="0.25">
      <c r="A18" s="29"/>
      <c r="B18" s="69"/>
      <c r="C18" s="29"/>
      <c r="D18" s="29"/>
      <c r="E18" s="70"/>
      <c r="F18" s="70"/>
      <c r="G18" s="71"/>
      <c r="H18" s="29"/>
      <c r="I18" s="29"/>
      <c r="J18" s="29"/>
      <c r="K18" s="6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</row>
    <row r="19" spans="1:35" ht="14.45" customHeight="1" x14ac:dyDescent="0.25">
      <c r="A19" s="29"/>
      <c r="B19" s="69"/>
      <c r="C19" s="29"/>
      <c r="D19" s="29"/>
      <c r="E19" s="70"/>
      <c r="F19" s="70"/>
      <c r="G19" s="71"/>
      <c r="H19" s="29"/>
      <c r="I19" s="29"/>
      <c r="J19" s="29"/>
      <c r="K19" s="6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</row>
    <row r="20" spans="1:35" ht="14.45" customHeight="1" x14ac:dyDescent="0.25">
      <c r="A20" s="29"/>
      <c r="B20" s="69"/>
      <c r="C20" s="29"/>
      <c r="D20" s="29"/>
      <c r="E20" s="70"/>
      <c r="F20" s="70"/>
      <c r="G20" s="71"/>
      <c r="H20" s="29"/>
      <c r="I20" s="29"/>
      <c r="J20" s="29"/>
      <c r="K20" s="6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</row>
    <row r="21" spans="1:35" ht="14.45" customHeight="1" x14ac:dyDescent="0.25">
      <c r="A21" s="29"/>
      <c r="B21" s="69"/>
      <c r="C21" s="29"/>
      <c r="D21" s="29"/>
      <c r="E21" s="70"/>
      <c r="F21" s="70"/>
      <c r="G21" s="71"/>
      <c r="H21" s="29"/>
      <c r="I21" s="29"/>
      <c r="J21" s="29"/>
      <c r="K21" s="6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</row>
    <row r="22" spans="1:35" ht="14.45" customHeight="1" x14ac:dyDescent="0.25">
      <c r="A22" s="29"/>
      <c r="B22" s="69"/>
      <c r="C22" s="29"/>
      <c r="D22" s="29"/>
      <c r="E22" s="70"/>
      <c r="F22" s="70"/>
      <c r="G22" s="71"/>
      <c r="H22" s="29"/>
      <c r="I22" s="29"/>
      <c r="J22" s="29"/>
      <c r="K22" s="6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</row>
    <row r="23" spans="1:35" ht="14.45" customHeight="1" x14ac:dyDescent="0.25">
      <c r="A23" s="29"/>
      <c r="B23" s="69"/>
      <c r="C23" s="29"/>
      <c r="D23" s="29"/>
      <c r="E23" s="70"/>
      <c r="F23" s="70"/>
      <c r="G23" s="71"/>
      <c r="H23" s="29"/>
      <c r="I23" s="29"/>
      <c r="J23" s="29"/>
      <c r="K23" s="6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</row>
    <row r="24" spans="1:35" ht="14.45" customHeight="1" x14ac:dyDescent="0.25">
      <c r="A24" s="29"/>
      <c r="B24" s="69"/>
      <c r="C24" s="29"/>
      <c r="D24" s="29"/>
      <c r="E24" s="70"/>
      <c r="F24" s="70"/>
      <c r="G24" s="71"/>
      <c r="H24" s="29"/>
      <c r="I24" s="29"/>
      <c r="J24" s="29"/>
      <c r="K24" s="6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</row>
    <row r="25" spans="1:35" ht="14.45" customHeight="1" x14ac:dyDescent="0.25">
      <c r="A25" s="29"/>
      <c r="B25" s="69"/>
      <c r="C25" s="29"/>
      <c r="D25" s="29"/>
      <c r="E25" s="70"/>
      <c r="F25" s="70"/>
      <c r="G25" s="71"/>
      <c r="H25" s="29"/>
      <c r="I25" s="29"/>
      <c r="J25" s="29"/>
      <c r="K25" s="6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</row>
    <row r="26" spans="1:35" ht="14.45" customHeight="1" x14ac:dyDescent="0.25">
      <c r="A26" s="29"/>
      <c r="B26" s="69"/>
      <c r="C26" s="29"/>
      <c r="D26" s="29"/>
      <c r="E26" s="70"/>
      <c r="F26" s="70"/>
      <c r="G26" s="71"/>
      <c r="H26" s="29"/>
      <c r="I26" s="29"/>
      <c r="J26" s="29"/>
      <c r="K26" s="6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</row>
    <row r="27" spans="1:35" ht="14.45" customHeight="1" x14ac:dyDescent="0.25">
      <c r="A27" s="29"/>
      <c r="B27" s="69"/>
      <c r="C27" s="29"/>
      <c r="D27" s="29"/>
      <c r="E27" s="70"/>
      <c r="F27" s="70"/>
      <c r="G27" s="71"/>
      <c r="H27" s="29"/>
      <c r="I27" s="29"/>
      <c r="J27" s="29"/>
      <c r="K27" s="6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</row>
    <row r="28" spans="1:35" ht="14.45" customHeight="1" x14ac:dyDescent="0.25">
      <c r="A28" s="29"/>
      <c r="B28" s="69"/>
      <c r="C28" s="29"/>
      <c r="D28" s="29"/>
      <c r="E28" s="70"/>
      <c r="F28" s="70"/>
      <c r="G28" s="71"/>
      <c r="H28" s="29"/>
      <c r="I28" s="29"/>
      <c r="J28" s="29"/>
      <c r="K28" s="6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</row>
    <row r="29" spans="1:35" ht="14.45" customHeight="1" x14ac:dyDescent="0.25">
      <c r="A29" s="29"/>
      <c r="B29" s="69"/>
      <c r="C29" s="29"/>
      <c r="D29" s="29"/>
      <c r="E29" s="70"/>
      <c r="F29" s="70"/>
      <c r="G29" s="71"/>
      <c r="H29" s="29"/>
      <c r="I29" s="29"/>
      <c r="J29" s="29"/>
      <c r="K29" s="6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</row>
    <row r="30" spans="1:35" ht="14.45" customHeight="1" x14ac:dyDescent="0.25">
      <c r="A30" s="29"/>
      <c r="B30" s="69"/>
      <c r="C30" s="29"/>
      <c r="D30" s="29"/>
      <c r="E30" s="70"/>
      <c r="F30" s="70"/>
      <c r="G30" s="71"/>
      <c r="H30" s="29"/>
      <c r="I30" s="29"/>
      <c r="J30" s="29"/>
      <c r="K30" s="6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</row>
    <row r="31" spans="1:35" ht="14.45" customHeight="1" x14ac:dyDescent="0.25">
      <c r="A31" s="29"/>
      <c r="B31" s="69"/>
      <c r="C31" s="29"/>
      <c r="D31" s="29"/>
      <c r="E31" s="70"/>
      <c r="F31" s="70"/>
      <c r="G31" s="71"/>
      <c r="H31" s="29"/>
      <c r="I31" s="29"/>
      <c r="J31" s="29"/>
      <c r="K31" s="6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</row>
    <row r="32" spans="1:35" ht="14.45" customHeight="1" x14ac:dyDescent="0.25">
      <c r="A32" s="29"/>
      <c r="B32" s="69"/>
      <c r="C32" s="29"/>
      <c r="D32" s="29"/>
      <c r="E32" s="70"/>
      <c r="F32" s="70"/>
      <c r="G32" s="71"/>
      <c r="H32" s="29"/>
      <c r="I32" s="29"/>
      <c r="J32" s="29"/>
      <c r="K32" s="6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</row>
    <row r="33" spans="1:35" ht="14.45" customHeight="1" x14ac:dyDescent="0.25">
      <c r="A33" s="29"/>
      <c r="B33" s="69"/>
      <c r="C33" s="29"/>
      <c r="D33" s="29"/>
      <c r="E33" s="70"/>
      <c r="F33" s="70"/>
      <c r="G33" s="71"/>
      <c r="H33" s="29"/>
      <c r="I33" s="29"/>
      <c r="J33" s="29"/>
      <c r="K33" s="6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</row>
    <row r="34" spans="1:35" ht="14.45" customHeight="1" x14ac:dyDescent="0.25">
      <c r="A34" s="29"/>
      <c r="B34" s="69"/>
      <c r="C34" s="29"/>
      <c r="D34" s="29"/>
      <c r="E34" s="70"/>
      <c r="F34" s="70"/>
      <c r="G34" s="71"/>
      <c r="H34" s="29"/>
      <c r="I34" s="29"/>
      <c r="J34" s="29"/>
      <c r="K34" s="6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</row>
    <row r="35" spans="1:35" ht="14.45" customHeight="1" x14ac:dyDescent="0.25">
      <c r="A35" s="29"/>
      <c r="B35" s="69"/>
      <c r="C35" s="29"/>
      <c r="D35" s="29"/>
      <c r="E35" s="70"/>
      <c r="F35" s="70"/>
      <c r="G35" s="71"/>
      <c r="H35" s="29"/>
      <c r="I35" s="29"/>
      <c r="J35" s="29"/>
      <c r="K35" s="6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</row>
    <row r="36" spans="1:35" ht="14.45" customHeight="1" x14ac:dyDescent="0.25">
      <c r="A36" s="29"/>
      <c r="B36" s="69"/>
      <c r="C36" s="29"/>
      <c r="D36" s="29"/>
      <c r="E36" s="70"/>
      <c r="F36" s="70"/>
      <c r="G36" s="71"/>
      <c r="H36" s="29"/>
      <c r="I36" s="29"/>
      <c r="J36" s="29"/>
      <c r="K36" s="6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</row>
    <row r="37" spans="1:35" ht="14.45" customHeight="1" x14ac:dyDescent="0.25">
      <c r="A37" s="29"/>
      <c r="B37" s="69"/>
      <c r="C37" s="29"/>
      <c r="D37" s="29"/>
      <c r="E37" s="70"/>
      <c r="F37" s="70"/>
      <c r="G37" s="71"/>
      <c r="H37" s="29"/>
      <c r="I37" s="29"/>
      <c r="J37" s="29"/>
      <c r="K37" s="6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</row>
    <row r="38" spans="1:35" ht="14.45" customHeight="1" x14ac:dyDescent="0.25">
      <c r="A38" s="29"/>
      <c r="B38" s="69"/>
      <c r="C38" s="29"/>
      <c r="D38" s="29"/>
      <c r="E38" s="70"/>
      <c r="F38" s="70"/>
      <c r="G38" s="71"/>
      <c r="H38" s="29"/>
      <c r="I38" s="29"/>
      <c r="J38" s="29"/>
      <c r="K38" s="6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</row>
    <row r="39" spans="1:35" ht="14.45" customHeight="1" x14ac:dyDescent="0.25">
      <c r="A39" s="29"/>
      <c r="B39" s="69"/>
      <c r="C39" s="29"/>
      <c r="D39" s="29"/>
      <c r="E39" s="70"/>
      <c r="F39" s="70"/>
      <c r="G39" s="71"/>
      <c r="H39" s="29"/>
      <c r="I39" s="29"/>
      <c r="J39" s="29"/>
      <c r="K39" s="6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</row>
    <row r="40" spans="1:35" ht="14.45" customHeight="1" x14ac:dyDescent="0.25">
      <c r="A40" s="29"/>
      <c r="B40" s="69"/>
      <c r="C40" s="29"/>
      <c r="D40" s="29"/>
      <c r="E40" s="70"/>
      <c r="F40" s="70"/>
      <c r="G40" s="71"/>
      <c r="H40" s="29"/>
      <c r="I40" s="29"/>
      <c r="J40" s="29"/>
      <c r="K40" s="6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</row>
    <row r="41" spans="1:35" ht="14.45" customHeight="1" x14ac:dyDescent="0.25">
      <c r="A41" s="29"/>
      <c r="B41" s="69"/>
      <c r="C41" s="29"/>
      <c r="D41" s="29"/>
      <c r="E41" s="70"/>
      <c r="F41" s="70"/>
      <c r="G41" s="71"/>
      <c r="H41" s="29"/>
      <c r="I41" s="29"/>
      <c r="J41" s="29"/>
      <c r="K41" s="6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</row>
    <row r="42" spans="1:35" ht="14.45" customHeight="1" x14ac:dyDescent="0.25">
      <c r="A42" s="29"/>
      <c r="B42" s="69"/>
      <c r="C42" s="29"/>
      <c r="D42" s="29"/>
      <c r="E42" s="70"/>
      <c r="F42" s="70"/>
      <c r="G42" s="71"/>
      <c r="H42" s="29"/>
      <c r="I42" s="29"/>
      <c r="J42" s="29"/>
      <c r="K42" s="6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</row>
    <row r="43" spans="1:35" ht="14.45" customHeight="1" x14ac:dyDescent="0.25">
      <c r="A43" s="29"/>
      <c r="B43" s="69"/>
      <c r="C43" s="29"/>
      <c r="D43" s="29"/>
      <c r="E43" s="70"/>
      <c r="F43" s="70"/>
      <c r="G43" s="71"/>
      <c r="H43" s="29"/>
      <c r="I43" s="29"/>
      <c r="J43" s="29"/>
      <c r="K43" s="6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</row>
    <row r="44" spans="1:35" ht="14.45" customHeight="1" x14ac:dyDescent="0.25">
      <c r="A44" s="29"/>
      <c r="B44" s="69"/>
      <c r="C44" s="29"/>
      <c r="D44" s="29"/>
      <c r="E44" s="70"/>
      <c r="F44" s="70"/>
      <c r="G44" s="71"/>
      <c r="H44" s="29"/>
      <c r="I44" s="29"/>
      <c r="J44" s="29"/>
      <c r="K44" s="6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</row>
    <row r="45" spans="1:35" ht="14.45" customHeight="1" x14ac:dyDescent="0.25">
      <c r="A45" s="29"/>
      <c r="B45" s="69"/>
      <c r="C45" s="29"/>
      <c r="D45" s="29"/>
      <c r="E45" s="70"/>
      <c r="F45" s="70"/>
      <c r="G45" s="71"/>
      <c r="H45" s="29"/>
      <c r="I45" s="29"/>
      <c r="J45" s="29"/>
      <c r="K45" s="6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</row>
    <row r="46" spans="1:35" ht="14.45" customHeight="1" x14ac:dyDescent="0.25">
      <c r="A46" s="29"/>
      <c r="B46" s="69"/>
      <c r="C46" s="29"/>
      <c r="D46" s="29"/>
      <c r="E46" s="70"/>
      <c r="F46" s="70"/>
      <c r="G46" s="71"/>
      <c r="H46" s="29"/>
      <c r="I46" s="29"/>
      <c r="J46" s="29"/>
      <c r="K46" s="6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</row>
    <row r="47" spans="1:35" ht="14.45" customHeight="1" x14ac:dyDescent="0.25">
      <c r="A47" s="29"/>
      <c r="B47" s="69"/>
      <c r="C47" s="29"/>
      <c r="D47" s="29"/>
      <c r="E47" s="70"/>
      <c r="F47" s="70"/>
      <c r="G47" s="71"/>
      <c r="H47" s="29"/>
      <c r="I47" s="29"/>
      <c r="J47" s="29"/>
      <c r="K47" s="6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</row>
    <row r="48" spans="1:35" ht="14.45" customHeight="1" x14ac:dyDescent="0.25">
      <c r="A48" s="29"/>
      <c r="B48" s="69"/>
      <c r="C48" s="29"/>
      <c r="D48" s="29"/>
      <c r="E48" s="70"/>
      <c r="F48" s="70"/>
      <c r="G48" s="71"/>
      <c r="H48" s="29"/>
      <c r="I48" s="29"/>
      <c r="J48" s="29"/>
      <c r="K48" s="6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</row>
    <row r="49" spans="1:35" ht="14.45" customHeight="1" x14ac:dyDescent="0.25">
      <c r="A49" s="29"/>
      <c r="B49" s="69"/>
      <c r="C49" s="29"/>
      <c r="D49" s="29"/>
      <c r="E49" s="70"/>
      <c r="F49" s="70"/>
      <c r="G49" s="71"/>
      <c r="H49" s="29"/>
      <c r="I49" s="29"/>
      <c r="J49" s="29"/>
      <c r="K49" s="6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</row>
    <row r="50" spans="1:35" ht="14.45" customHeight="1" x14ac:dyDescent="0.25">
      <c r="A50" s="29"/>
      <c r="B50" s="69"/>
      <c r="C50" s="29"/>
      <c r="D50" s="29"/>
      <c r="E50" s="70"/>
      <c r="F50" s="70"/>
      <c r="G50" s="71"/>
      <c r="H50" s="29"/>
      <c r="I50" s="29"/>
      <c r="J50" s="29"/>
      <c r="K50" s="6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</row>
    <row r="51" spans="1:35" ht="14.45" customHeight="1" x14ac:dyDescent="0.25">
      <c r="A51" s="29"/>
      <c r="B51" s="69"/>
      <c r="C51" s="29"/>
      <c r="D51" s="29"/>
      <c r="E51" s="70"/>
      <c r="F51" s="70"/>
      <c r="G51" s="71"/>
      <c r="H51" s="29"/>
      <c r="I51" s="29"/>
      <c r="J51" s="29"/>
      <c r="K51" s="6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</row>
    <row r="52" spans="1:35" ht="14.45" customHeight="1" x14ac:dyDescent="0.25">
      <c r="A52" s="29"/>
      <c r="B52" s="69"/>
      <c r="C52" s="29"/>
      <c r="D52" s="29"/>
      <c r="E52" s="70"/>
      <c r="F52" s="70"/>
      <c r="G52" s="71"/>
      <c r="H52" s="29"/>
      <c r="I52" s="29"/>
      <c r="J52" s="29"/>
      <c r="K52" s="6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</row>
    <row r="53" spans="1:35" ht="14.45" customHeight="1" x14ac:dyDescent="0.25">
      <c r="A53" s="29"/>
      <c r="B53" s="69"/>
      <c r="C53" s="29"/>
      <c r="D53" s="29"/>
      <c r="E53" s="70"/>
      <c r="F53" s="70"/>
      <c r="G53" s="71"/>
      <c r="H53" s="29"/>
      <c r="I53" s="29"/>
      <c r="J53" s="29"/>
      <c r="K53" s="6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</row>
    <row r="54" spans="1:35" ht="14.45" customHeight="1" x14ac:dyDescent="0.25">
      <c r="A54" s="29"/>
      <c r="B54" s="69"/>
      <c r="C54" s="29"/>
      <c r="D54" s="29"/>
      <c r="E54" s="70"/>
      <c r="F54" s="70"/>
      <c r="G54" s="71"/>
      <c r="H54" s="29"/>
      <c r="I54" s="29"/>
      <c r="J54" s="29"/>
      <c r="K54" s="6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</row>
    <row r="55" spans="1:35" ht="14.45" customHeight="1" x14ac:dyDescent="0.25">
      <c r="A55" s="29"/>
      <c r="B55" s="69"/>
      <c r="C55" s="29"/>
      <c r="D55" s="29"/>
      <c r="E55" s="70"/>
      <c r="F55" s="70"/>
      <c r="G55" s="71"/>
      <c r="H55" s="29"/>
      <c r="I55" s="29"/>
      <c r="J55" s="29"/>
      <c r="K55" s="6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1:35" ht="14.45" customHeight="1" x14ac:dyDescent="0.25">
      <c r="A56" s="29"/>
      <c r="B56" s="69"/>
      <c r="C56" s="29"/>
      <c r="D56" s="29"/>
      <c r="E56" s="70"/>
      <c r="F56" s="70"/>
      <c r="G56" s="71"/>
      <c r="H56" s="29"/>
      <c r="I56" s="29"/>
      <c r="J56" s="29"/>
      <c r="K56" s="6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1:35" ht="14.45" customHeight="1" x14ac:dyDescent="0.25">
      <c r="A57" s="29"/>
      <c r="B57" s="69"/>
      <c r="C57" s="29"/>
      <c r="D57" s="29"/>
      <c r="E57" s="70"/>
      <c r="F57" s="70"/>
      <c r="G57" s="71"/>
      <c r="H57" s="29"/>
      <c r="I57" s="29"/>
      <c r="J57" s="29"/>
      <c r="K57" s="6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1:35" ht="14.45" customHeight="1" x14ac:dyDescent="0.25">
      <c r="A58" s="29"/>
      <c r="B58" s="69"/>
      <c r="C58" s="29"/>
      <c r="D58" s="29"/>
      <c r="E58" s="70"/>
      <c r="F58" s="70"/>
      <c r="G58" s="71"/>
      <c r="H58" s="29"/>
      <c r="I58" s="29"/>
      <c r="J58" s="29"/>
      <c r="K58" s="6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1:35" ht="14.45" customHeight="1" x14ac:dyDescent="0.25">
      <c r="A59" s="29"/>
      <c r="B59" s="69"/>
      <c r="C59" s="29"/>
      <c r="D59" s="29"/>
      <c r="E59" s="70"/>
      <c r="F59" s="70"/>
      <c r="G59" s="71"/>
      <c r="H59" s="29"/>
      <c r="I59" s="29"/>
      <c r="J59" s="29"/>
      <c r="K59" s="6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1:35" ht="14.45" customHeight="1" x14ac:dyDescent="0.25">
      <c r="A60" s="29"/>
      <c r="B60" s="69"/>
      <c r="C60" s="29"/>
      <c r="D60" s="29"/>
      <c r="E60" s="70"/>
      <c r="F60" s="70"/>
      <c r="G60" s="71"/>
      <c r="H60" s="29"/>
      <c r="I60" s="29"/>
      <c r="J60" s="29"/>
      <c r="K60" s="6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1:35" ht="14.45" customHeight="1" x14ac:dyDescent="0.25">
      <c r="A61" s="29"/>
      <c r="B61" s="69"/>
      <c r="C61" s="29"/>
      <c r="D61" s="29"/>
      <c r="E61" s="70"/>
      <c r="F61" s="70"/>
      <c r="G61" s="71"/>
      <c r="H61" s="29"/>
      <c r="I61" s="29"/>
      <c r="J61" s="29"/>
      <c r="K61" s="6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1:35" ht="14.45" customHeight="1" x14ac:dyDescent="0.25">
      <c r="A62" s="29"/>
      <c r="B62" s="69"/>
      <c r="C62" s="29"/>
      <c r="D62" s="29"/>
      <c r="E62" s="70"/>
      <c r="F62" s="70"/>
      <c r="G62" s="71"/>
      <c r="H62" s="29"/>
      <c r="I62" s="29"/>
      <c r="J62" s="29"/>
      <c r="K62" s="6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1:35" ht="14.45" customHeight="1" x14ac:dyDescent="0.25">
      <c r="A63" s="29"/>
      <c r="B63" s="69"/>
      <c r="C63" s="29"/>
      <c r="D63" s="29"/>
      <c r="E63" s="70"/>
      <c r="F63" s="70"/>
      <c r="G63" s="71"/>
      <c r="H63" s="29"/>
      <c r="I63" s="29"/>
      <c r="J63" s="29"/>
      <c r="K63" s="6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1:35" ht="14.45" customHeight="1" x14ac:dyDescent="0.25">
      <c r="A64" s="29"/>
      <c r="B64" s="69"/>
      <c r="C64" s="29"/>
      <c r="D64" s="29"/>
      <c r="E64" s="70"/>
      <c r="F64" s="70"/>
      <c r="G64" s="71"/>
      <c r="H64" s="29"/>
      <c r="I64" s="29"/>
      <c r="J64" s="29"/>
      <c r="K64" s="6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1:35" ht="14.45" customHeight="1" x14ac:dyDescent="0.25">
      <c r="A65" s="29"/>
      <c r="B65" s="69"/>
      <c r="C65" s="29"/>
      <c r="D65" s="29"/>
      <c r="E65" s="70"/>
      <c r="F65" s="70"/>
      <c r="G65" s="71"/>
      <c r="H65" s="29"/>
      <c r="I65" s="29"/>
      <c r="J65" s="29"/>
      <c r="K65" s="6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1:35" ht="14.45" customHeight="1" x14ac:dyDescent="0.25">
      <c r="A66" s="29"/>
      <c r="B66" s="69"/>
      <c r="C66" s="29"/>
      <c r="D66" s="29"/>
      <c r="E66" s="70"/>
      <c r="F66" s="70"/>
      <c r="G66" s="71"/>
      <c r="H66" s="29"/>
      <c r="I66" s="29"/>
      <c r="J66" s="29"/>
      <c r="K66" s="6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1:35" ht="14.45" customHeight="1" x14ac:dyDescent="0.25">
      <c r="A67" s="29"/>
      <c r="B67" s="69"/>
      <c r="C67" s="29"/>
      <c r="D67" s="29"/>
      <c r="E67" s="70"/>
      <c r="F67" s="70"/>
      <c r="G67" s="71"/>
      <c r="H67" s="29"/>
      <c r="I67" s="29"/>
      <c r="J67" s="29"/>
      <c r="K67" s="6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1:35" ht="14.45" customHeight="1" x14ac:dyDescent="0.25">
      <c r="A68" s="29"/>
      <c r="B68" s="69"/>
      <c r="C68" s="29"/>
      <c r="D68" s="29"/>
      <c r="E68" s="70"/>
      <c r="F68" s="70"/>
      <c r="G68" s="71"/>
      <c r="H68" s="29"/>
      <c r="I68" s="29"/>
      <c r="J68" s="29"/>
      <c r="K68" s="6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1:35" ht="14.45" customHeight="1" x14ac:dyDescent="0.25">
      <c r="A69" s="29"/>
      <c r="B69" s="69"/>
      <c r="C69" s="29"/>
      <c r="D69" s="29"/>
      <c r="E69" s="70"/>
      <c r="F69" s="70"/>
      <c r="G69" s="71"/>
      <c r="H69" s="29"/>
      <c r="I69" s="29"/>
      <c r="J69" s="29"/>
      <c r="K69" s="6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1:35" ht="14.45" customHeight="1" x14ac:dyDescent="0.25">
      <c r="A70" s="29"/>
      <c r="B70" s="69"/>
      <c r="C70" s="29"/>
      <c r="D70" s="29"/>
      <c r="E70" s="70"/>
      <c r="F70" s="70"/>
      <c r="G70" s="71"/>
      <c r="H70" s="29"/>
      <c r="I70" s="29"/>
      <c r="J70" s="29"/>
      <c r="K70" s="6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1:35" ht="14.45" customHeight="1" x14ac:dyDescent="0.25">
      <c r="A71" s="29"/>
      <c r="B71" s="69"/>
      <c r="C71" s="29"/>
      <c r="D71" s="29"/>
      <c r="E71" s="70"/>
      <c r="F71" s="70"/>
      <c r="G71" s="71"/>
      <c r="H71" s="29"/>
      <c r="I71" s="29"/>
      <c r="J71" s="29"/>
      <c r="K71" s="6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1:35" ht="14.45" customHeight="1" x14ac:dyDescent="0.25">
      <c r="A72" s="29"/>
      <c r="B72" s="69"/>
      <c r="C72" s="29"/>
      <c r="D72" s="29"/>
      <c r="E72" s="70"/>
      <c r="F72" s="70"/>
      <c r="G72" s="71"/>
      <c r="H72" s="29"/>
      <c r="I72" s="29"/>
      <c r="J72" s="29"/>
      <c r="K72" s="6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1:35" ht="14.45" customHeight="1" x14ac:dyDescent="0.25">
      <c r="A73" s="29"/>
      <c r="B73" s="69"/>
      <c r="C73" s="29"/>
      <c r="D73" s="29"/>
      <c r="E73" s="70"/>
      <c r="F73" s="70"/>
      <c r="G73" s="71"/>
      <c r="H73" s="29"/>
      <c r="I73" s="29"/>
      <c r="J73" s="29"/>
      <c r="K73" s="6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35" ht="14.45" customHeight="1" x14ac:dyDescent="0.25">
      <c r="A74" s="29"/>
      <c r="B74" s="69"/>
      <c r="C74" s="29"/>
      <c r="D74" s="29"/>
      <c r="E74" s="70"/>
      <c r="F74" s="70"/>
      <c r="G74" s="71"/>
      <c r="H74" s="29"/>
      <c r="I74" s="29"/>
      <c r="J74" s="29"/>
      <c r="K74" s="6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1:35" ht="14.45" customHeight="1" x14ac:dyDescent="0.25">
      <c r="A75" s="29"/>
      <c r="B75" s="69"/>
      <c r="C75" s="29"/>
      <c r="D75" s="29"/>
      <c r="E75" s="70"/>
      <c r="F75" s="70"/>
      <c r="G75" s="71"/>
      <c r="H75" s="29"/>
      <c r="I75" s="29"/>
      <c r="J75" s="29"/>
      <c r="K75" s="6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1:35" ht="14.45" customHeight="1" x14ac:dyDescent="0.25">
      <c r="A76" s="29"/>
      <c r="B76" s="69"/>
      <c r="C76" s="29"/>
      <c r="D76" s="29"/>
      <c r="E76" s="70"/>
      <c r="F76" s="70"/>
      <c r="G76" s="71"/>
      <c r="H76" s="29"/>
      <c r="I76" s="29"/>
      <c r="J76" s="29"/>
      <c r="K76" s="6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1:35" ht="14.45" customHeight="1" x14ac:dyDescent="0.25">
      <c r="A77" s="29"/>
      <c r="B77" s="69"/>
      <c r="C77" s="29"/>
      <c r="D77" s="29"/>
      <c r="E77" s="70"/>
      <c r="F77" s="70"/>
      <c r="G77" s="71"/>
      <c r="H77" s="29"/>
      <c r="I77" s="29"/>
      <c r="J77" s="29"/>
      <c r="K77" s="6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1:35" ht="14.45" customHeight="1" x14ac:dyDescent="0.25">
      <c r="A78" s="29"/>
      <c r="B78" s="69"/>
      <c r="C78" s="29"/>
      <c r="D78" s="29"/>
      <c r="E78" s="70"/>
      <c r="F78" s="70"/>
      <c r="G78" s="71"/>
      <c r="H78" s="29"/>
      <c r="I78" s="29"/>
      <c r="J78" s="29"/>
      <c r="K78" s="6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35" ht="14.45" customHeight="1" x14ac:dyDescent="0.25">
      <c r="A79" s="29"/>
      <c r="B79" s="69"/>
      <c r="C79" s="29"/>
      <c r="D79" s="29"/>
      <c r="E79" s="70"/>
      <c r="F79" s="70"/>
      <c r="G79" s="71"/>
      <c r="H79" s="29"/>
      <c r="I79" s="29"/>
      <c r="J79" s="29"/>
      <c r="K79" s="6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35" ht="14.45" customHeight="1" x14ac:dyDescent="0.25">
      <c r="A80" s="29"/>
      <c r="B80" s="69"/>
      <c r="C80" s="29"/>
      <c r="D80" s="29"/>
      <c r="E80" s="70"/>
      <c r="F80" s="70"/>
      <c r="G80" s="71"/>
      <c r="H80" s="29"/>
      <c r="I80" s="29"/>
      <c r="J80" s="29"/>
      <c r="K80" s="6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1:35" ht="14.45" customHeight="1" x14ac:dyDescent="0.25">
      <c r="A81" s="29"/>
      <c r="B81" s="69"/>
      <c r="C81" s="29"/>
      <c r="D81" s="29"/>
      <c r="E81" s="70"/>
      <c r="F81" s="70"/>
      <c r="G81" s="71"/>
      <c r="H81" s="29"/>
      <c r="I81" s="29"/>
      <c r="J81" s="29"/>
      <c r="K81" s="6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1:35" ht="14.45" customHeight="1" x14ac:dyDescent="0.25">
      <c r="A82" s="29"/>
      <c r="B82" s="69"/>
      <c r="C82" s="29"/>
      <c r="D82" s="29"/>
      <c r="E82" s="70"/>
      <c r="F82" s="70"/>
      <c r="G82" s="71"/>
      <c r="H82" s="29"/>
      <c r="I82" s="29"/>
      <c r="J82" s="29"/>
      <c r="K82" s="6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1:35" ht="14.45" customHeight="1" x14ac:dyDescent="0.25">
      <c r="A83" s="29"/>
      <c r="B83" s="69"/>
      <c r="C83" s="29"/>
      <c r="D83" s="29"/>
      <c r="E83" s="70"/>
      <c r="F83" s="70"/>
      <c r="G83" s="71"/>
      <c r="H83" s="29"/>
      <c r="I83" s="29"/>
      <c r="J83" s="29"/>
      <c r="K83" s="6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1:35" ht="14.45" customHeight="1" x14ac:dyDescent="0.25">
      <c r="A84" s="29"/>
      <c r="B84" s="69"/>
      <c r="C84" s="29"/>
      <c r="D84" s="29"/>
      <c r="E84" s="70"/>
      <c r="F84" s="70"/>
      <c r="G84" s="71"/>
      <c r="H84" s="29"/>
      <c r="I84" s="29"/>
      <c r="J84" s="29"/>
      <c r="K84" s="6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1:35" ht="14.45" customHeight="1" x14ac:dyDescent="0.25">
      <c r="A85" s="29"/>
      <c r="B85" s="69"/>
      <c r="C85" s="29"/>
      <c r="D85" s="29"/>
      <c r="E85" s="70"/>
      <c r="F85" s="70"/>
      <c r="G85" s="71"/>
      <c r="H85" s="29"/>
      <c r="I85" s="29"/>
      <c r="J85" s="29"/>
      <c r="K85" s="6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29"/>
    </row>
    <row r="86" spans="1:35" ht="14.45" customHeight="1" x14ac:dyDescent="0.25">
      <c r="A86" s="29"/>
      <c r="B86" s="69"/>
      <c r="C86" s="29"/>
      <c r="D86" s="29"/>
      <c r="E86" s="70"/>
      <c r="F86" s="70"/>
      <c r="G86" s="71"/>
      <c r="H86" s="29"/>
      <c r="I86" s="29"/>
      <c r="J86" s="29"/>
      <c r="K86" s="6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</row>
    <row r="87" spans="1:35" ht="14.45" customHeight="1" x14ac:dyDescent="0.25">
      <c r="A87" s="29"/>
      <c r="B87" s="69"/>
      <c r="C87" s="29"/>
      <c r="D87" s="29"/>
      <c r="E87" s="70"/>
      <c r="F87" s="70"/>
      <c r="G87" s="71"/>
      <c r="H87" s="29"/>
      <c r="I87" s="29"/>
      <c r="J87" s="29"/>
      <c r="K87" s="6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</row>
    <row r="88" spans="1:35" ht="14.45" customHeight="1" x14ac:dyDescent="0.25">
      <c r="A88" s="29"/>
      <c r="B88" s="69"/>
      <c r="C88" s="29"/>
      <c r="D88" s="29"/>
      <c r="E88" s="70"/>
      <c r="F88" s="70"/>
      <c r="G88" s="71"/>
      <c r="H88" s="29"/>
      <c r="I88" s="29"/>
      <c r="J88" s="29"/>
      <c r="K88" s="6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29"/>
    </row>
    <row r="89" spans="1:35" ht="14.45" customHeight="1" x14ac:dyDescent="0.25">
      <c r="A89" s="29"/>
      <c r="B89" s="69"/>
      <c r="C89" s="29"/>
      <c r="D89" s="29"/>
      <c r="E89" s="70"/>
      <c r="F89" s="70"/>
      <c r="G89" s="71"/>
      <c r="H89" s="29"/>
      <c r="I89" s="29"/>
      <c r="J89" s="29"/>
      <c r="K89" s="6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</row>
    <row r="90" spans="1:35" ht="14.45" customHeight="1" x14ac:dyDescent="0.25">
      <c r="A90" s="29"/>
      <c r="B90" s="69"/>
      <c r="C90" s="29"/>
      <c r="D90" s="29"/>
      <c r="E90" s="70"/>
      <c r="F90" s="70"/>
      <c r="G90" s="71"/>
      <c r="H90" s="29"/>
      <c r="I90" s="29"/>
      <c r="J90" s="29"/>
      <c r="K90" s="6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29"/>
    </row>
    <row r="91" spans="1:35" ht="14.45" customHeight="1" x14ac:dyDescent="0.25">
      <c r="A91" s="29"/>
      <c r="B91" s="69"/>
      <c r="C91" s="29"/>
      <c r="D91" s="29"/>
      <c r="E91" s="70"/>
      <c r="F91" s="70"/>
      <c r="G91" s="71"/>
      <c r="H91" s="29"/>
      <c r="I91" s="29"/>
      <c r="J91" s="29"/>
      <c r="K91" s="6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</row>
    <row r="92" spans="1:35" ht="14.45" customHeight="1" x14ac:dyDescent="0.25">
      <c r="A92" s="29"/>
      <c r="B92" s="69"/>
      <c r="C92" s="29"/>
      <c r="D92" s="29"/>
      <c r="E92" s="70"/>
      <c r="F92" s="70"/>
      <c r="G92" s="71"/>
      <c r="H92" s="29"/>
      <c r="I92" s="29"/>
      <c r="J92" s="29"/>
      <c r="K92" s="6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</row>
    <row r="93" spans="1:35" ht="14.45" customHeight="1" x14ac:dyDescent="0.25">
      <c r="A93" s="29"/>
      <c r="B93" s="69"/>
      <c r="C93" s="29"/>
      <c r="D93" s="29"/>
      <c r="E93" s="70"/>
      <c r="F93" s="70"/>
      <c r="G93" s="71"/>
      <c r="H93" s="29"/>
      <c r="I93" s="29"/>
      <c r="J93" s="29"/>
      <c r="K93" s="6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</row>
    <row r="94" spans="1:35" ht="14.45" customHeight="1" x14ac:dyDescent="0.25">
      <c r="A94" s="29"/>
      <c r="B94" s="69"/>
      <c r="C94" s="29"/>
      <c r="D94" s="29"/>
      <c r="E94" s="70"/>
      <c r="F94" s="70"/>
      <c r="G94" s="71"/>
      <c r="H94" s="29"/>
      <c r="I94" s="29"/>
      <c r="J94" s="29"/>
      <c r="K94" s="6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</row>
    <row r="95" spans="1:35" ht="14.45" customHeight="1" x14ac:dyDescent="0.25">
      <c r="A95" s="29"/>
      <c r="B95" s="69"/>
      <c r="C95" s="29"/>
      <c r="D95" s="29"/>
      <c r="E95" s="70"/>
      <c r="F95" s="70"/>
      <c r="G95" s="71"/>
      <c r="H95" s="29"/>
      <c r="I95" s="29"/>
      <c r="J95" s="29"/>
      <c r="K95" s="6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</row>
    <row r="96" spans="1:35" ht="14.45" customHeight="1" x14ac:dyDescent="0.25">
      <c r="A96" s="29"/>
      <c r="B96" s="69"/>
      <c r="C96" s="29"/>
      <c r="D96" s="29"/>
      <c r="E96" s="70"/>
      <c r="F96" s="70"/>
      <c r="G96" s="71"/>
      <c r="H96" s="29"/>
      <c r="I96" s="29"/>
      <c r="J96" s="29"/>
      <c r="K96" s="6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I96" s="29"/>
    </row>
    <row r="97" spans="1:35" ht="14.45" customHeight="1" x14ac:dyDescent="0.25">
      <c r="A97" s="29"/>
      <c r="B97" s="69"/>
      <c r="C97" s="29"/>
      <c r="D97" s="29"/>
      <c r="E97" s="70"/>
      <c r="F97" s="70"/>
      <c r="G97" s="71"/>
      <c r="H97" s="29"/>
      <c r="I97" s="29"/>
      <c r="J97" s="29"/>
      <c r="K97" s="6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</row>
    <row r="98" spans="1:35" ht="14.45" customHeight="1" x14ac:dyDescent="0.25">
      <c r="A98" s="29"/>
      <c r="B98" s="69"/>
      <c r="C98" s="29"/>
      <c r="D98" s="29"/>
      <c r="E98" s="70"/>
      <c r="F98" s="70"/>
      <c r="G98" s="71"/>
      <c r="H98" s="29"/>
      <c r="I98" s="29"/>
      <c r="J98" s="29"/>
      <c r="K98" s="6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</row>
    <row r="99" spans="1:35" ht="14.45" customHeight="1" x14ac:dyDescent="0.25">
      <c r="A99" s="29"/>
      <c r="B99" s="69"/>
      <c r="C99" s="29"/>
      <c r="D99" s="29"/>
      <c r="E99" s="70"/>
      <c r="F99" s="70"/>
      <c r="G99" s="71"/>
      <c r="H99" s="29"/>
      <c r="I99" s="29"/>
      <c r="J99" s="29"/>
      <c r="K99" s="6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</row>
    <row r="100" spans="1:35" ht="14.45" customHeight="1" x14ac:dyDescent="0.25">
      <c r="A100" s="29"/>
      <c r="B100" s="69"/>
      <c r="C100" s="29"/>
      <c r="D100" s="29"/>
      <c r="E100" s="70"/>
      <c r="F100" s="70"/>
      <c r="G100" s="71"/>
      <c r="H100" s="29"/>
      <c r="I100" s="29"/>
      <c r="J100" s="29"/>
      <c r="K100" s="6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</row>
    <row r="101" spans="1:35" ht="14.45" customHeight="1" x14ac:dyDescent="0.25">
      <c r="A101" s="29"/>
      <c r="B101" s="69"/>
      <c r="C101" s="29"/>
      <c r="D101" s="29"/>
      <c r="E101" s="70"/>
      <c r="F101" s="70"/>
      <c r="G101" s="71"/>
      <c r="H101" s="29"/>
      <c r="I101" s="29"/>
      <c r="J101" s="29"/>
      <c r="K101" s="6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</row>
    <row r="102" spans="1:35" ht="14.45" customHeight="1" x14ac:dyDescent="0.25">
      <c r="A102" s="29"/>
      <c r="B102" s="69"/>
      <c r="C102" s="29"/>
      <c r="D102" s="29"/>
      <c r="E102" s="70"/>
      <c r="F102" s="70"/>
      <c r="G102" s="71"/>
      <c r="H102" s="29"/>
      <c r="I102" s="29"/>
      <c r="J102" s="29"/>
      <c r="K102" s="6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</row>
    <row r="103" spans="1:35" ht="14.45" customHeight="1" x14ac:dyDescent="0.25">
      <c r="A103" s="29"/>
      <c r="B103" s="69"/>
      <c r="C103" s="29"/>
      <c r="D103" s="29"/>
      <c r="E103" s="70"/>
      <c r="F103" s="70"/>
      <c r="G103" s="71"/>
      <c r="H103" s="29"/>
      <c r="I103" s="29"/>
      <c r="J103" s="29"/>
      <c r="K103" s="6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</row>
    <row r="104" spans="1:35" ht="14.45" customHeight="1" x14ac:dyDescent="0.25">
      <c r="A104" s="29"/>
      <c r="B104" s="69"/>
      <c r="C104" s="29"/>
      <c r="D104" s="29"/>
      <c r="E104" s="70"/>
      <c r="F104" s="70"/>
      <c r="G104" s="71"/>
      <c r="H104" s="29"/>
      <c r="I104" s="29"/>
      <c r="J104" s="29"/>
      <c r="K104" s="6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</row>
    <row r="105" spans="1:35" ht="14.45" customHeight="1" x14ac:dyDescent="0.25">
      <c r="A105" s="29"/>
      <c r="B105" s="69"/>
      <c r="C105" s="29"/>
      <c r="D105" s="29"/>
      <c r="E105" s="70"/>
      <c r="F105" s="70"/>
      <c r="G105" s="71"/>
      <c r="H105" s="29"/>
      <c r="I105" s="29"/>
      <c r="J105" s="29"/>
      <c r="K105" s="6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I105" s="29"/>
    </row>
    <row r="106" spans="1:35" ht="14.45" customHeight="1" x14ac:dyDescent="0.25">
      <c r="A106" s="29"/>
      <c r="B106" s="69"/>
      <c r="C106" s="29"/>
      <c r="D106" s="29"/>
      <c r="E106" s="70"/>
      <c r="F106" s="70"/>
      <c r="G106" s="71"/>
      <c r="H106" s="29"/>
      <c r="I106" s="29"/>
      <c r="J106" s="29"/>
      <c r="K106" s="6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</row>
    <row r="107" spans="1:35" ht="14.45" customHeight="1" x14ac:dyDescent="0.25">
      <c r="A107" s="29"/>
      <c r="B107" s="69"/>
      <c r="C107" s="29"/>
      <c r="D107" s="29"/>
      <c r="E107" s="70"/>
      <c r="F107" s="70"/>
      <c r="G107" s="71"/>
      <c r="H107" s="29"/>
      <c r="I107" s="29"/>
      <c r="J107" s="29"/>
      <c r="K107" s="6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</row>
    <row r="108" spans="1:35" ht="14.45" customHeight="1" x14ac:dyDescent="0.25">
      <c r="A108" s="29"/>
      <c r="B108" s="69"/>
      <c r="C108" s="29"/>
      <c r="D108" s="29"/>
      <c r="E108" s="70"/>
      <c r="F108" s="70"/>
      <c r="G108" s="71"/>
      <c r="H108" s="29"/>
      <c r="I108" s="29"/>
      <c r="J108" s="29"/>
      <c r="K108" s="6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</row>
    <row r="109" spans="1:35" ht="14.45" customHeight="1" x14ac:dyDescent="0.25">
      <c r="A109" s="29"/>
      <c r="B109" s="69"/>
      <c r="C109" s="29"/>
      <c r="D109" s="29"/>
      <c r="E109" s="70"/>
      <c r="F109" s="70"/>
      <c r="G109" s="71"/>
      <c r="H109" s="29"/>
      <c r="I109" s="29"/>
      <c r="J109" s="29"/>
      <c r="K109" s="6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</row>
    <row r="110" spans="1:35" ht="14.45" customHeight="1" x14ac:dyDescent="0.25">
      <c r="A110" s="29"/>
      <c r="B110" s="69"/>
      <c r="C110" s="29"/>
      <c r="D110" s="29"/>
      <c r="E110" s="70"/>
      <c r="F110" s="70"/>
      <c r="G110" s="71"/>
      <c r="H110" s="29"/>
      <c r="I110" s="29"/>
      <c r="J110" s="29"/>
      <c r="K110" s="6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</row>
    <row r="111" spans="1:35" ht="14.45" customHeight="1" x14ac:dyDescent="0.25">
      <c r="A111" s="29"/>
      <c r="B111" s="69"/>
      <c r="C111" s="29"/>
      <c r="D111" s="29"/>
      <c r="E111" s="70"/>
      <c r="F111" s="70"/>
      <c r="G111" s="71"/>
      <c r="H111" s="29"/>
      <c r="I111" s="29"/>
      <c r="J111" s="29"/>
      <c r="K111" s="6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</row>
    <row r="112" spans="1:35" ht="14.45" customHeight="1" x14ac:dyDescent="0.25">
      <c r="A112" s="29"/>
      <c r="B112" s="69"/>
      <c r="C112" s="29"/>
      <c r="D112" s="29"/>
      <c r="E112" s="70"/>
      <c r="F112" s="70"/>
      <c r="G112" s="71"/>
      <c r="H112" s="29"/>
      <c r="I112" s="29"/>
      <c r="J112" s="29"/>
      <c r="K112" s="6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</row>
    <row r="113" spans="1:35" ht="14.45" customHeight="1" x14ac:dyDescent="0.25">
      <c r="A113" s="29"/>
      <c r="B113" s="69"/>
      <c r="C113" s="29"/>
      <c r="D113" s="29"/>
      <c r="E113" s="70"/>
      <c r="F113" s="70"/>
      <c r="G113" s="71"/>
      <c r="H113" s="29"/>
      <c r="I113" s="29"/>
      <c r="J113" s="29"/>
      <c r="K113" s="6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</row>
    <row r="114" spans="1:35" ht="14.45" customHeight="1" x14ac:dyDescent="0.25">
      <c r="A114" s="29"/>
      <c r="B114" s="69"/>
      <c r="C114" s="29"/>
      <c r="D114" s="29"/>
      <c r="E114" s="70"/>
      <c r="F114" s="70"/>
      <c r="G114" s="71"/>
      <c r="H114" s="29"/>
      <c r="I114" s="29"/>
      <c r="J114" s="29"/>
      <c r="K114" s="6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</row>
    <row r="115" spans="1:35" ht="14.45" customHeight="1" x14ac:dyDescent="0.25">
      <c r="A115" s="29"/>
      <c r="B115" s="69"/>
      <c r="C115" s="29"/>
      <c r="D115" s="29"/>
      <c r="E115" s="70"/>
      <c r="F115" s="70"/>
      <c r="G115" s="71"/>
      <c r="H115" s="29"/>
      <c r="I115" s="29"/>
      <c r="J115" s="29"/>
      <c r="K115" s="6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</row>
    <row r="116" spans="1:35" ht="14.45" customHeight="1" x14ac:dyDescent="0.25">
      <c r="A116" s="29"/>
      <c r="B116" s="69"/>
      <c r="C116" s="29"/>
      <c r="D116" s="29"/>
      <c r="E116" s="70"/>
      <c r="F116" s="70"/>
      <c r="G116" s="71"/>
      <c r="H116" s="29"/>
      <c r="I116" s="29"/>
      <c r="J116" s="29"/>
      <c r="K116" s="6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</row>
    <row r="117" spans="1:35" ht="14.45" customHeight="1" x14ac:dyDescent="0.25">
      <c r="A117" s="29"/>
      <c r="B117" s="69"/>
      <c r="C117" s="29"/>
      <c r="D117" s="29"/>
      <c r="E117" s="70"/>
      <c r="F117" s="70"/>
      <c r="G117" s="71"/>
      <c r="H117" s="29"/>
      <c r="I117" s="29"/>
      <c r="J117" s="29"/>
      <c r="K117" s="6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</row>
    <row r="118" spans="1:35" ht="14.45" customHeight="1" x14ac:dyDescent="0.25">
      <c r="A118" s="29"/>
      <c r="B118" s="69"/>
      <c r="C118" s="29"/>
      <c r="D118" s="29"/>
      <c r="E118" s="70"/>
      <c r="F118" s="70"/>
      <c r="G118" s="71"/>
      <c r="H118" s="29"/>
      <c r="I118" s="29"/>
      <c r="J118" s="29"/>
      <c r="K118" s="6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</row>
    <row r="119" spans="1:35" ht="14.45" customHeight="1" x14ac:dyDescent="0.25">
      <c r="A119" s="29"/>
      <c r="B119" s="69"/>
      <c r="C119" s="29"/>
      <c r="D119" s="29"/>
      <c r="E119" s="70"/>
      <c r="F119" s="70"/>
      <c r="G119" s="71"/>
      <c r="H119" s="29"/>
      <c r="I119" s="29"/>
      <c r="J119" s="29"/>
      <c r="K119" s="6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</row>
    <row r="120" spans="1:35" ht="14.45" customHeight="1" x14ac:dyDescent="0.25">
      <c r="A120" s="29"/>
      <c r="B120" s="69"/>
      <c r="C120" s="29"/>
      <c r="D120" s="29"/>
      <c r="E120" s="70"/>
      <c r="F120" s="70"/>
      <c r="G120" s="71"/>
      <c r="H120" s="29"/>
      <c r="I120" s="29"/>
      <c r="J120" s="29"/>
      <c r="K120" s="6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</row>
    <row r="121" spans="1:35" ht="14.45" customHeight="1" x14ac:dyDescent="0.25">
      <c r="A121" s="29"/>
      <c r="B121" s="69"/>
      <c r="C121" s="29"/>
      <c r="D121" s="29"/>
      <c r="E121" s="70"/>
      <c r="F121" s="70"/>
      <c r="G121" s="71"/>
      <c r="H121" s="29"/>
      <c r="I121" s="29"/>
      <c r="J121" s="29"/>
      <c r="K121" s="6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</row>
    <row r="122" spans="1:35" ht="14.45" customHeight="1" x14ac:dyDescent="0.25">
      <c r="A122" s="29"/>
      <c r="B122" s="69"/>
      <c r="C122" s="29"/>
      <c r="D122" s="29"/>
      <c r="E122" s="70"/>
      <c r="F122" s="70"/>
      <c r="G122" s="71"/>
      <c r="H122" s="29"/>
      <c r="I122" s="29"/>
      <c r="J122" s="29"/>
      <c r="K122" s="6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</row>
    <row r="123" spans="1:35" ht="14.45" customHeight="1" x14ac:dyDescent="0.25">
      <c r="A123" s="29"/>
      <c r="B123" s="69"/>
      <c r="C123" s="29"/>
      <c r="D123" s="29"/>
      <c r="E123" s="70"/>
      <c r="F123" s="70"/>
      <c r="G123" s="71"/>
      <c r="H123" s="29"/>
      <c r="I123" s="29"/>
      <c r="J123" s="29"/>
      <c r="K123" s="6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1:35" ht="14.45" customHeight="1" x14ac:dyDescent="0.25">
      <c r="A124" s="29"/>
      <c r="B124" s="69"/>
      <c r="C124" s="29"/>
      <c r="D124" s="29"/>
      <c r="E124" s="70"/>
      <c r="F124" s="70"/>
      <c r="G124" s="71"/>
      <c r="H124" s="29"/>
      <c r="I124" s="29"/>
      <c r="J124" s="29"/>
      <c r="K124" s="6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1:35" ht="14.45" customHeight="1" x14ac:dyDescent="0.25">
      <c r="A125" s="29"/>
      <c r="B125" s="69"/>
      <c r="C125" s="29"/>
      <c r="D125" s="29"/>
      <c r="E125" s="70"/>
      <c r="F125" s="70"/>
      <c r="G125" s="71"/>
      <c r="H125" s="29"/>
      <c r="I125" s="29"/>
      <c r="J125" s="29"/>
      <c r="K125" s="6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</row>
    <row r="126" spans="1:35" ht="14.45" customHeight="1" x14ac:dyDescent="0.25">
      <c r="A126" s="29"/>
      <c r="B126" s="69"/>
      <c r="C126" s="29"/>
      <c r="D126" s="29"/>
      <c r="E126" s="70"/>
      <c r="F126" s="70"/>
      <c r="G126" s="71"/>
      <c r="H126" s="29"/>
      <c r="I126" s="29"/>
      <c r="J126" s="29"/>
      <c r="K126" s="6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</row>
    <row r="127" spans="1:35" ht="14.45" customHeight="1" x14ac:dyDescent="0.25">
      <c r="A127" s="29"/>
      <c r="B127" s="69"/>
      <c r="C127" s="29"/>
      <c r="D127" s="29"/>
      <c r="E127" s="70"/>
      <c r="F127" s="70"/>
      <c r="G127" s="71"/>
      <c r="H127" s="29"/>
      <c r="I127" s="29"/>
      <c r="J127" s="29"/>
      <c r="K127" s="6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</row>
    <row r="128" spans="1:35" ht="14.45" customHeight="1" x14ac:dyDescent="0.25">
      <c r="A128" s="29"/>
      <c r="B128" s="69"/>
      <c r="C128" s="29"/>
      <c r="D128" s="29"/>
      <c r="E128" s="70"/>
      <c r="F128" s="70"/>
      <c r="G128" s="71"/>
      <c r="H128" s="29"/>
      <c r="I128" s="29"/>
      <c r="J128" s="29"/>
      <c r="K128" s="6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</row>
    <row r="129" spans="1:35" ht="14.45" customHeight="1" x14ac:dyDescent="0.25">
      <c r="A129" s="29"/>
      <c r="B129" s="69"/>
      <c r="C129" s="29"/>
      <c r="D129" s="29"/>
      <c r="E129" s="70"/>
      <c r="F129" s="70"/>
      <c r="G129" s="71"/>
      <c r="H129" s="29"/>
      <c r="I129" s="29"/>
      <c r="J129" s="29"/>
      <c r="K129" s="6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  <c r="AH129" s="29"/>
      <c r="AI129" s="29"/>
    </row>
    <row r="130" spans="1:35" ht="14.45" customHeight="1" x14ac:dyDescent="0.25">
      <c r="A130" s="29"/>
      <c r="B130" s="69"/>
      <c r="C130" s="29"/>
      <c r="D130" s="29"/>
      <c r="E130" s="70"/>
      <c r="F130" s="70"/>
      <c r="G130" s="71"/>
      <c r="H130" s="29"/>
      <c r="I130" s="29"/>
      <c r="J130" s="29"/>
      <c r="K130" s="6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</row>
    <row r="131" spans="1:35" ht="14.45" customHeight="1" x14ac:dyDescent="0.25">
      <c r="A131" s="29"/>
      <c r="B131" s="69"/>
      <c r="C131" s="29"/>
      <c r="D131" s="29"/>
      <c r="E131" s="70"/>
      <c r="F131" s="70"/>
      <c r="G131" s="71"/>
      <c r="H131" s="29"/>
      <c r="I131" s="29"/>
      <c r="J131" s="29"/>
      <c r="K131" s="6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</row>
    <row r="132" spans="1:35" ht="14.45" customHeight="1" x14ac:dyDescent="0.25">
      <c r="A132" s="29"/>
      <c r="B132" s="69"/>
      <c r="C132" s="29"/>
      <c r="D132" s="29"/>
      <c r="E132" s="70"/>
      <c r="F132" s="70"/>
      <c r="G132" s="71"/>
      <c r="H132" s="29"/>
      <c r="I132" s="29"/>
      <c r="J132" s="29"/>
      <c r="K132" s="6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</row>
    <row r="133" spans="1:35" ht="14.45" customHeight="1" x14ac:dyDescent="0.25">
      <c r="A133" s="29"/>
      <c r="B133" s="69"/>
      <c r="C133" s="29"/>
      <c r="D133" s="29"/>
      <c r="E133" s="70"/>
      <c r="F133" s="70"/>
      <c r="G133" s="71"/>
      <c r="H133" s="29"/>
      <c r="I133" s="29"/>
      <c r="J133" s="29"/>
      <c r="K133" s="6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</row>
    <row r="134" spans="1:35" ht="14.45" customHeight="1" x14ac:dyDescent="0.25">
      <c r="A134" s="29"/>
      <c r="B134" s="69"/>
      <c r="C134" s="29"/>
      <c r="D134" s="29"/>
      <c r="E134" s="70"/>
      <c r="F134" s="70"/>
      <c r="G134" s="71"/>
      <c r="H134" s="29"/>
      <c r="I134" s="29"/>
      <c r="J134" s="29"/>
      <c r="K134" s="6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</row>
    <row r="135" spans="1:35" ht="14.45" customHeight="1" x14ac:dyDescent="0.25">
      <c r="A135" s="29"/>
      <c r="B135" s="69"/>
      <c r="C135" s="29"/>
      <c r="D135" s="29"/>
      <c r="E135" s="70"/>
      <c r="F135" s="70"/>
      <c r="G135" s="71"/>
      <c r="H135" s="29"/>
      <c r="I135" s="29"/>
      <c r="J135" s="29"/>
      <c r="K135" s="6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</row>
    <row r="136" spans="1:35" ht="14.45" customHeight="1" x14ac:dyDescent="0.25">
      <c r="A136" s="29"/>
      <c r="B136" s="69"/>
      <c r="C136" s="29"/>
      <c r="D136" s="29"/>
      <c r="E136" s="70"/>
      <c r="F136" s="70"/>
      <c r="G136" s="71"/>
      <c r="H136" s="29"/>
      <c r="I136" s="29"/>
      <c r="J136" s="29"/>
      <c r="K136" s="6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</row>
    <row r="137" spans="1:35" ht="14.45" customHeight="1" x14ac:dyDescent="0.25">
      <c r="A137" s="29"/>
      <c r="B137" s="69"/>
      <c r="C137" s="29"/>
      <c r="D137" s="29"/>
      <c r="E137" s="70"/>
      <c r="F137" s="70"/>
      <c r="G137" s="71"/>
      <c r="H137" s="29"/>
      <c r="I137" s="29"/>
      <c r="J137" s="29"/>
      <c r="K137" s="6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</row>
    <row r="138" spans="1:35" ht="14.45" customHeight="1" x14ac:dyDescent="0.25">
      <c r="A138" s="29"/>
      <c r="B138" s="69"/>
      <c r="C138" s="29"/>
      <c r="D138" s="29"/>
      <c r="E138" s="70"/>
      <c r="F138" s="70"/>
      <c r="G138" s="71"/>
      <c r="H138" s="29"/>
      <c r="I138" s="29"/>
      <c r="J138" s="29"/>
      <c r="K138" s="6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</row>
    <row r="139" spans="1:35" ht="14.45" customHeight="1" x14ac:dyDescent="0.25">
      <c r="A139" s="29"/>
      <c r="B139" s="69"/>
      <c r="C139" s="29"/>
      <c r="D139" s="29"/>
      <c r="E139" s="70"/>
      <c r="F139" s="70"/>
      <c r="G139" s="71"/>
      <c r="H139" s="29"/>
      <c r="I139" s="29"/>
      <c r="J139" s="29"/>
      <c r="K139" s="6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</row>
    <row r="140" spans="1:35" ht="14.45" customHeight="1" x14ac:dyDescent="0.25">
      <c r="A140" s="29"/>
      <c r="B140" s="69"/>
      <c r="C140" s="29"/>
      <c r="D140" s="29"/>
      <c r="E140" s="70"/>
      <c r="F140" s="70"/>
      <c r="G140" s="71"/>
      <c r="H140" s="29"/>
      <c r="I140" s="29"/>
      <c r="J140" s="29"/>
      <c r="K140" s="6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</row>
    <row r="141" spans="1:35" ht="14.45" customHeight="1" x14ac:dyDescent="0.25">
      <c r="A141" s="29"/>
      <c r="B141" s="69"/>
      <c r="C141" s="29"/>
      <c r="D141" s="29"/>
      <c r="E141" s="70"/>
      <c r="F141" s="70"/>
      <c r="G141" s="71"/>
      <c r="H141" s="29"/>
      <c r="I141" s="29"/>
      <c r="J141" s="29"/>
      <c r="K141" s="6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</row>
    <row r="142" spans="1:35" ht="14.45" customHeight="1" x14ac:dyDescent="0.25">
      <c r="A142" s="29"/>
      <c r="B142" s="69"/>
      <c r="C142" s="29"/>
      <c r="D142" s="29"/>
      <c r="E142" s="70"/>
      <c r="F142" s="70"/>
      <c r="G142" s="71"/>
      <c r="H142" s="29"/>
      <c r="I142" s="29"/>
      <c r="J142" s="29"/>
      <c r="K142" s="6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</row>
    <row r="143" spans="1:35" ht="14.45" customHeight="1" x14ac:dyDescent="0.25">
      <c r="A143" s="29"/>
      <c r="B143" s="69"/>
      <c r="C143" s="29"/>
      <c r="D143" s="29"/>
      <c r="E143" s="70"/>
      <c r="F143" s="70"/>
      <c r="G143" s="71"/>
      <c r="H143" s="29"/>
      <c r="I143" s="29"/>
      <c r="J143" s="29"/>
      <c r="K143" s="6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</row>
    <row r="144" spans="1:35" ht="14.45" customHeight="1" x14ac:dyDescent="0.25">
      <c r="A144" s="29"/>
      <c r="B144" s="69"/>
      <c r="C144" s="29"/>
      <c r="D144" s="29"/>
      <c r="E144" s="70"/>
      <c r="F144" s="70"/>
      <c r="G144" s="71"/>
      <c r="H144" s="29"/>
      <c r="I144" s="29"/>
      <c r="J144" s="29"/>
      <c r="K144" s="6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</row>
    <row r="145" spans="1:35" ht="14.45" customHeight="1" x14ac:dyDescent="0.25">
      <c r="A145" s="29"/>
      <c r="B145" s="69"/>
      <c r="C145" s="29"/>
      <c r="D145" s="29"/>
      <c r="E145" s="70"/>
      <c r="F145" s="70"/>
      <c r="G145" s="71"/>
      <c r="H145" s="29"/>
      <c r="I145" s="29"/>
      <c r="J145" s="29"/>
      <c r="K145" s="6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</row>
    <row r="146" spans="1:35" ht="14.45" customHeight="1" x14ac:dyDescent="0.25">
      <c r="A146" s="29"/>
      <c r="B146" s="69"/>
      <c r="C146" s="29"/>
      <c r="D146" s="29"/>
      <c r="E146" s="70"/>
      <c r="F146" s="70"/>
      <c r="G146" s="71"/>
      <c r="H146" s="29"/>
      <c r="I146" s="29"/>
      <c r="J146" s="29"/>
      <c r="K146" s="6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</row>
    <row r="147" spans="1:35" ht="14.45" customHeight="1" x14ac:dyDescent="0.25">
      <c r="A147" s="29"/>
      <c r="B147" s="69"/>
      <c r="C147" s="29"/>
      <c r="D147" s="29"/>
      <c r="E147" s="70"/>
      <c r="F147" s="70"/>
      <c r="G147" s="71"/>
      <c r="H147" s="29"/>
      <c r="I147" s="29"/>
      <c r="J147" s="29"/>
      <c r="K147" s="6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</row>
    <row r="148" spans="1:35" ht="14.45" customHeight="1" x14ac:dyDescent="0.25">
      <c r="A148" s="29"/>
      <c r="B148" s="69"/>
      <c r="C148" s="29"/>
      <c r="D148" s="29"/>
      <c r="E148" s="70"/>
      <c r="F148" s="70"/>
      <c r="G148" s="71"/>
      <c r="H148" s="29"/>
      <c r="I148" s="29"/>
      <c r="J148" s="29"/>
      <c r="K148" s="6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</row>
    <row r="149" spans="1:35" ht="14.45" customHeight="1" x14ac:dyDescent="0.25">
      <c r="A149" s="29"/>
      <c r="B149" s="69"/>
      <c r="C149" s="29"/>
      <c r="D149" s="29"/>
      <c r="E149" s="70"/>
      <c r="F149" s="70"/>
      <c r="G149" s="71"/>
      <c r="H149" s="29"/>
      <c r="I149" s="29"/>
      <c r="J149" s="29"/>
      <c r="K149" s="6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</row>
    <row r="150" spans="1:35" ht="14.45" customHeight="1" x14ac:dyDescent="0.25">
      <c r="A150" s="29"/>
      <c r="B150" s="69"/>
      <c r="C150" s="29"/>
      <c r="D150" s="29"/>
      <c r="E150" s="70"/>
      <c r="F150" s="70"/>
      <c r="G150" s="71"/>
      <c r="H150" s="29"/>
      <c r="I150" s="29"/>
      <c r="J150" s="29"/>
      <c r="K150" s="6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</row>
    <row r="151" spans="1:35" ht="14.45" customHeight="1" x14ac:dyDescent="0.25">
      <c r="A151" s="29"/>
      <c r="B151" s="69"/>
      <c r="C151" s="29"/>
      <c r="D151" s="29"/>
      <c r="E151" s="70"/>
      <c r="F151" s="70"/>
      <c r="G151" s="71"/>
      <c r="H151" s="29"/>
      <c r="I151" s="29"/>
      <c r="J151" s="29"/>
      <c r="K151" s="6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</row>
    <row r="152" spans="1:35" ht="14.45" customHeight="1" x14ac:dyDescent="0.25">
      <c r="A152" s="29"/>
      <c r="B152" s="69"/>
      <c r="C152" s="29"/>
      <c r="D152" s="29"/>
      <c r="E152" s="70"/>
      <c r="F152" s="70"/>
      <c r="G152" s="71"/>
      <c r="H152" s="29"/>
      <c r="I152" s="29"/>
      <c r="J152" s="29"/>
      <c r="K152" s="6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</row>
    <row r="153" spans="1:35" ht="14.45" customHeight="1" x14ac:dyDescent="0.25">
      <c r="A153" s="29"/>
      <c r="B153" s="69"/>
      <c r="C153" s="29"/>
      <c r="D153" s="29"/>
      <c r="E153" s="70"/>
      <c r="F153" s="70"/>
      <c r="G153" s="71"/>
      <c r="H153" s="29"/>
      <c r="I153" s="29"/>
      <c r="J153" s="29"/>
      <c r="K153" s="6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</row>
    <row r="154" spans="1:35" ht="14.45" customHeight="1" x14ac:dyDescent="0.25">
      <c r="A154" s="29"/>
      <c r="B154" s="69"/>
      <c r="C154" s="29"/>
      <c r="D154" s="29"/>
      <c r="E154" s="70"/>
      <c r="F154" s="70"/>
      <c r="G154" s="71"/>
      <c r="H154" s="29"/>
      <c r="I154" s="29"/>
      <c r="J154" s="29"/>
      <c r="K154" s="6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</row>
    <row r="155" spans="1:35" ht="14.45" customHeight="1" x14ac:dyDescent="0.25">
      <c r="A155" s="29"/>
      <c r="B155" s="69"/>
      <c r="C155" s="29"/>
      <c r="D155" s="29"/>
      <c r="E155" s="70"/>
      <c r="F155" s="70"/>
      <c r="G155" s="71"/>
      <c r="H155" s="29"/>
      <c r="I155" s="29"/>
      <c r="J155" s="29"/>
      <c r="K155" s="6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</row>
    <row r="156" spans="1:35" ht="14.45" customHeight="1" x14ac:dyDescent="0.25">
      <c r="A156" s="29"/>
      <c r="B156" s="69"/>
      <c r="C156" s="29"/>
      <c r="D156" s="29"/>
      <c r="E156" s="70"/>
      <c r="F156" s="70"/>
      <c r="G156" s="71"/>
      <c r="H156" s="29"/>
      <c r="I156" s="29"/>
      <c r="J156" s="29"/>
      <c r="K156" s="6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</row>
    <row r="157" spans="1:35" ht="14.45" customHeight="1" x14ac:dyDescent="0.25">
      <c r="A157" s="29"/>
      <c r="B157" s="69"/>
      <c r="C157" s="29"/>
      <c r="D157" s="29"/>
      <c r="E157" s="70"/>
      <c r="F157" s="70"/>
      <c r="G157" s="71"/>
      <c r="H157" s="29"/>
      <c r="I157" s="29"/>
      <c r="J157" s="29"/>
      <c r="K157" s="6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</row>
    <row r="158" spans="1:35" ht="14.45" customHeight="1" x14ac:dyDescent="0.25">
      <c r="A158" s="29"/>
      <c r="B158" s="69"/>
      <c r="C158" s="29"/>
      <c r="D158" s="29"/>
      <c r="E158" s="70"/>
      <c r="F158" s="70"/>
      <c r="G158" s="71"/>
      <c r="H158" s="29"/>
      <c r="I158" s="29"/>
      <c r="J158" s="29"/>
      <c r="K158" s="6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</row>
    <row r="159" spans="1:35" ht="14.45" customHeight="1" x14ac:dyDescent="0.25">
      <c r="A159" s="29"/>
      <c r="B159" s="69"/>
      <c r="C159" s="29"/>
      <c r="D159" s="29"/>
      <c r="E159" s="70"/>
      <c r="F159" s="70"/>
      <c r="G159" s="71"/>
      <c r="H159" s="29"/>
      <c r="I159" s="29"/>
      <c r="J159" s="29"/>
      <c r="K159" s="6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</row>
    <row r="160" spans="1:35" ht="14.45" customHeight="1" x14ac:dyDescent="0.25">
      <c r="A160" s="29"/>
      <c r="B160" s="69"/>
      <c r="C160" s="29"/>
      <c r="D160" s="29"/>
      <c r="E160" s="70"/>
      <c r="F160" s="70"/>
      <c r="G160" s="71"/>
      <c r="H160" s="29"/>
      <c r="I160" s="29"/>
      <c r="J160" s="29"/>
      <c r="K160" s="6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</row>
    <row r="161" spans="1:35" ht="14.45" customHeight="1" x14ac:dyDescent="0.25">
      <c r="A161" s="29"/>
      <c r="B161" s="69"/>
      <c r="C161" s="29"/>
      <c r="D161" s="29"/>
      <c r="E161" s="70"/>
      <c r="F161" s="70"/>
      <c r="G161" s="71"/>
      <c r="H161" s="29"/>
      <c r="I161" s="29"/>
      <c r="J161" s="29"/>
      <c r="K161" s="6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</row>
    <row r="162" spans="1:35" ht="14.45" customHeight="1" x14ac:dyDescent="0.25">
      <c r="A162" s="29"/>
      <c r="B162" s="69"/>
      <c r="C162" s="29"/>
      <c r="D162" s="29"/>
      <c r="E162" s="70"/>
      <c r="F162" s="70"/>
      <c r="G162" s="71"/>
      <c r="H162" s="29"/>
      <c r="I162" s="29"/>
      <c r="J162" s="29"/>
      <c r="K162" s="6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</row>
    <row r="163" spans="1:35" ht="14.45" customHeight="1" x14ac:dyDescent="0.25">
      <c r="A163" s="29"/>
      <c r="B163" s="69"/>
      <c r="C163" s="29"/>
      <c r="D163" s="29"/>
      <c r="E163" s="70"/>
      <c r="F163" s="70"/>
      <c r="G163" s="71"/>
      <c r="H163" s="29"/>
      <c r="I163" s="29"/>
      <c r="J163" s="29"/>
      <c r="K163" s="6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</row>
    <row r="164" spans="1:35" ht="14.45" customHeight="1" x14ac:dyDescent="0.25">
      <c r="A164" s="29"/>
      <c r="B164" s="69"/>
      <c r="C164" s="29"/>
      <c r="D164" s="29"/>
      <c r="E164" s="70"/>
      <c r="F164" s="70"/>
      <c r="G164" s="71"/>
      <c r="H164" s="29"/>
      <c r="I164" s="29"/>
      <c r="J164" s="29"/>
      <c r="K164" s="6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</row>
    <row r="165" spans="1:35" ht="14.45" customHeight="1" x14ac:dyDescent="0.25">
      <c r="A165" s="29"/>
      <c r="B165" s="69"/>
      <c r="C165" s="29"/>
      <c r="D165" s="29"/>
      <c r="E165" s="70"/>
      <c r="F165" s="70"/>
      <c r="G165" s="71"/>
      <c r="H165" s="29"/>
      <c r="I165" s="29"/>
      <c r="J165" s="29"/>
      <c r="K165" s="6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</row>
    <row r="166" spans="1:35" ht="14.45" customHeight="1" x14ac:dyDescent="0.25">
      <c r="A166" s="29"/>
      <c r="B166" s="69"/>
      <c r="C166" s="29"/>
      <c r="D166" s="29"/>
      <c r="E166" s="70"/>
      <c r="F166" s="70"/>
      <c r="G166" s="71"/>
      <c r="H166" s="29"/>
      <c r="I166" s="29"/>
      <c r="J166" s="29"/>
      <c r="K166" s="6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</row>
    <row r="167" spans="1:35" ht="14.45" customHeight="1" x14ac:dyDescent="0.25">
      <c r="A167" s="29"/>
      <c r="B167" s="69"/>
      <c r="C167" s="29"/>
      <c r="D167" s="29"/>
      <c r="E167" s="70"/>
      <c r="F167" s="70"/>
      <c r="G167" s="71"/>
      <c r="H167" s="29"/>
      <c r="I167" s="29"/>
      <c r="J167" s="29"/>
      <c r="K167" s="6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</row>
    <row r="168" spans="1:35" ht="14.45" customHeight="1" x14ac:dyDescent="0.25">
      <c r="A168" s="29"/>
      <c r="B168" s="69"/>
      <c r="C168" s="29"/>
      <c r="D168" s="29"/>
      <c r="E168" s="70"/>
      <c r="F168" s="70"/>
      <c r="G168" s="71"/>
      <c r="H168" s="29"/>
      <c r="I168" s="29"/>
      <c r="J168" s="29"/>
      <c r="K168" s="6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</row>
    <row r="169" spans="1:35" ht="14.45" customHeight="1" x14ac:dyDescent="0.25">
      <c r="A169" s="29"/>
      <c r="B169" s="69"/>
      <c r="C169" s="29"/>
      <c r="D169" s="29"/>
      <c r="E169" s="70"/>
      <c r="F169" s="70"/>
      <c r="G169" s="71"/>
      <c r="H169" s="29"/>
      <c r="I169" s="29"/>
      <c r="J169" s="29"/>
      <c r="K169" s="6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</row>
    <row r="170" spans="1:35" ht="14.45" customHeight="1" x14ac:dyDescent="0.25">
      <c r="A170" s="29"/>
      <c r="B170" s="69"/>
      <c r="C170" s="29"/>
      <c r="D170" s="29"/>
      <c r="E170" s="70"/>
      <c r="F170" s="70"/>
      <c r="G170" s="71"/>
      <c r="H170" s="29"/>
      <c r="I170" s="29"/>
      <c r="J170" s="29"/>
      <c r="K170" s="6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</row>
    <row r="171" spans="1:35" ht="14.45" customHeight="1" x14ac:dyDescent="0.25">
      <c r="A171" s="29"/>
      <c r="B171" s="69"/>
      <c r="C171" s="29"/>
      <c r="D171" s="29"/>
      <c r="E171" s="70"/>
      <c r="F171" s="70"/>
      <c r="G171" s="71"/>
      <c r="H171" s="29"/>
      <c r="I171" s="29"/>
      <c r="J171" s="29"/>
      <c r="K171" s="6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</row>
    <row r="172" spans="1:35" ht="14.45" customHeight="1" x14ac:dyDescent="0.25">
      <c r="A172" s="29"/>
      <c r="B172" s="69"/>
      <c r="C172" s="29"/>
      <c r="D172" s="29"/>
      <c r="E172" s="70"/>
      <c r="F172" s="70"/>
      <c r="G172" s="71"/>
      <c r="H172" s="29"/>
      <c r="I172" s="29"/>
      <c r="J172" s="29"/>
      <c r="K172" s="6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</row>
    <row r="173" spans="1:35" ht="14.45" customHeight="1" x14ac:dyDescent="0.25">
      <c r="A173" s="29"/>
      <c r="B173" s="69"/>
      <c r="C173" s="29"/>
      <c r="D173" s="29"/>
      <c r="E173" s="70"/>
      <c r="F173" s="70"/>
      <c r="G173" s="71"/>
      <c r="H173" s="29"/>
      <c r="I173" s="29"/>
      <c r="J173" s="29"/>
      <c r="K173" s="6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</row>
    <row r="174" spans="1:35" ht="14.45" customHeight="1" x14ac:dyDescent="0.25">
      <c r="A174" s="29"/>
      <c r="B174" s="69"/>
      <c r="C174" s="29"/>
      <c r="D174" s="29"/>
      <c r="E174" s="70"/>
      <c r="F174" s="70"/>
      <c r="G174" s="71"/>
      <c r="H174" s="29"/>
      <c r="I174" s="29"/>
      <c r="J174" s="29"/>
      <c r="K174" s="6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</row>
    <row r="175" spans="1:35" ht="14.45" customHeight="1" x14ac:dyDescent="0.25">
      <c r="A175" s="29"/>
      <c r="B175" s="69"/>
      <c r="C175" s="29"/>
      <c r="D175" s="29"/>
      <c r="E175" s="70"/>
      <c r="F175" s="70"/>
      <c r="G175" s="71"/>
      <c r="H175" s="29"/>
      <c r="I175" s="29"/>
      <c r="J175" s="29"/>
      <c r="K175" s="6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</row>
    <row r="176" spans="1:35" ht="14.45" customHeight="1" x14ac:dyDescent="0.25">
      <c r="A176" s="29"/>
      <c r="B176" s="69"/>
      <c r="C176" s="29"/>
      <c r="D176" s="29"/>
      <c r="E176" s="70"/>
      <c r="F176" s="70"/>
      <c r="G176" s="71"/>
      <c r="H176" s="29"/>
      <c r="I176" s="29"/>
      <c r="J176" s="29"/>
      <c r="K176" s="6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</row>
    <row r="177" spans="1:35" ht="14.45" customHeight="1" x14ac:dyDescent="0.25">
      <c r="A177" s="29"/>
      <c r="B177" s="69"/>
      <c r="C177" s="29"/>
      <c r="D177" s="29"/>
      <c r="E177" s="70"/>
      <c r="F177" s="70"/>
      <c r="G177" s="71"/>
      <c r="H177" s="29"/>
      <c r="I177" s="29"/>
      <c r="J177" s="29"/>
      <c r="K177" s="6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</row>
    <row r="178" spans="1:35" ht="14.45" customHeight="1" x14ac:dyDescent="0.25">
      <c r="A178" s="29"/>
      <c r="B178" s="69"/>
      <c r="C178" s="29"/>
      <c r="D178" s="29"/>
      <c r="E178" s="70"/>
      <c r="F178" s="70"/>
      <c r="G178" s="71"/>
      <c r="H178" s="29"/>
      <c r="I178" s="29"/>
      <c r="J178" s="29"/>
      <c r="K178" s="6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</row>
    <row r="179" spans="1:35" ht="14.45" customHeight="1" x14ac:dyDescent="0.25">
      <c r="A179" s="29"/>
      <c r="B179" s="69"/>
      <c r="C179" s="29"/>
      <c r="D179" s="29"/>
      <c r="E179" s="70"/>
      <c r="F179" s="70"/>
      <c r="G179" s="71"/>
      <c r="H179" s="29"/>
      <c r="I179" s="29"/>
      <c r="J179" s="29"/>
      <c r="K179" s="6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</row>
    <row r="180" spans="1:35" ht="14.45" customHeight="1" x14ac:dyDescent="0.25">
      <c r="A180" s="29"/>
      <c r="B180" s="69"/>
      <c r="C180" s="29"/>
      <c r="D180" s="29"/>
      <c r="E180" s="70"/>
      <c r="F180" s="70"/>
      <c r="G180" s="71"/>
      <c r="H180" s="29"/>
      <c r="I180" s="29"/>
      <c r="J180" s="29"/>
      <c r="K180" s="6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29"/>
      <c r="AH180" s="29"/>
      <c r="AI180" s="29"/>
    </row>
    <row r="181" spans="1:35" ht="14.45" customHeight="1" x14ac:dyDescent="0.25">
      <c r="A181" s="29"/>
      <c r="B181" s="69"/>
      <c r="C181" s="29"/>
      <c r="D181" s="29"/>
      <c r="E181" s="70"/>
      <c r="F181" s="70"/>
      <c r="G181" s="71"/>
      <c r="H181" s="29"/>
      <c r="I181" s="29"/>
      <c r="J181" s="29"/>
      <c r="K181" s="6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29"/>
      <c r="AH181" s="29"/>
      <c r="AI181" s="29"/>
    </row>
    <row r="182" spans="1:35" ht="14.45" customHeight="1" x14ac:dyDescent="0.25">
      <c r="A182" s="29"/>
      <c r="B182" s="69"/>
      <c r="C182" s="29"/>
      <c r="D182" s="29"/>
      <c r="E182" s="70"/>
      <c r="F182" s="70"/>
      <c r="G182" s="71"/>
      <c r="H182" s="29"/>
      <c r="I182" s="29"/>
      <c r="J182" s="29"/>
      <c r="K182" s="6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29"/>
      <c r="AF182" s="29"/>
      <c r="AG182" s="29"/>
      <c r="AH182" s="29"/>
      <c r="AI182" s="29"/>
    </row>
    <row r="183" spans="1:35" ht="14.45" customHeight="1" x14ac:dyDescent="0.25">
      <c r="A183" s="29"/>
      <c r="B183" s="69"/>
      <c r="C183" s="29"/>
      <c r="D183" s="29"/>
      <c r="E183" s="70"/>
      <c r="F183" s="70"/>
      <c r="G183" s="71"/>
      <c r="H183" s="29"/>
      <c r="I183" s="29"/>
      <c r="J183" s="29"/>
      <c r="K183" s="6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29"/>
      <c r="AH183" s="29"/>
      <c r="AI183" s="29"/>
    </row>
    <row r="184" spans="1:35" ht="14.45" customHeight="1" x14ac:dyDescent="0.25">
      <c r="A184" s="29"/>
      <c r="B184" s="69"/>
      <c r="C184" s="29"/>
      <c r="D184" s="29"/>
      <c r="E184" s="70"/>
      <c r="F184" s="70"/>
      <c r="G184" s="71"/>
      <c r="H184" s="29"/>
      <c r="I184" s="29"/>
      <c r="J184" s="29"/>
      <c r="K184" s="6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29"/>
      <c r="AH184" s="29"/>
      <c r="AI184" s="29"/>
    </row>
    <row r="185" spans="1:35" ht="14.45" customHeight="1" x14ac:dyDescent="0.25">
      <c r="A185" s="29"/>
      <c r="B185" s="69"/>
      <c r="C185" s="29"/>
      <c r="D185" s="29"/>
      <c r="E185" s="70"/>
      <c r="F185" s="70"/>
      <c r="G185" s="71"/>
      <c r="H185" s="29"/>
      <c r="I185" s="29"/>
      <c r="J185" s="29"/>
      <c r="K185" s="6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29"/>
      <c r="AB185" s="29"/>
      <c r="AC185" s="29"/>
      <c r="AD185" s="29"/>
      <c r="AE185" s="29"/>
      <c r="AF185" s="29"/>
      <c r="AG185" s="29"/>
      <c r="AH185" s="29"/>
      <c r="AI185" s="29"/>
    </row>
    <row r="186" spans="1:35" ht="14.45" customHeight="1" x14ac:dyDescent="0.25">
      <c r="A186" s="29"/>
      <c r="B186" s="69"/>
      <c r="C186" s="29"/>
      <c r="D186" s="29"/>
      <c r="E186" s="70"/>
      <c r="F186" s="70"/>
      <c r="G186" s="71"/>
      <c r="H186" s="29"/>
      <c r="I186" s="29"/>
      <c r="J186" s="29"/>
      <c r="K186" s="6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29"/>
      <c r="AH186" s="29"/>
      <c r="AI186" s="29"/>
    </row>
    <row r="187" spans="1:35" ht="14.45" customHeight="1" x14ac:dyDescent="0.25">
      <c r="A187" s="29"/>
      <c r="B187" s="69"/>
      <c r="C187" s="29"/>
      <c r="D187" s="29"/>
      <c r="E187" s="70"/>
      <c r="F187" s="70"/>
      <c r="G187" s="71"/>
      <c r="H187" s="29"/>
      <c r="I187" s="29"/>
      <c r="J187" s="29"/>
      <c r="K187" s="6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</row>
    <row r="188" spans="1:35" ht="14.45" customHeight="1" x14ac:dyDescent="0.25">
      <c r="A188" s="29"/>
      <c r="B188" s="69"/>
      <c r="C188" s="29"/>
      <c r="D188" s="29"/>
      <c r="E188" s="70"/>
      <c r="F188" s="70"/>
      <c r="G188" s="71"/>
      <c r="H188" s="29"/>
      <c r="I188" s="29"/>
      <c r="J188" s="29"/>
      <c r="K188" s="6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29"/>
      <c r="AB188" s="29"/>
      <c r="AC188" s="29"/>
      <c r="AD188" s="29"/>
      <c r="AE188" s="29"/>
      <c r="AF188" s="29"/>
      <c r="AG188" s="29"/>
      <c r="AH188" s="29"/>
      <c r="AI188" s="29"/>
    </row>
    <row r="189" spans="1:35" ht="14.45" customHeight="1" x14ac:dyDescent="0.25">
      <c r="A189" s="29"/>
      <c r="B189" s="69"/>
      <c r="C189" s="29"/>
      <c r="D189" s="29"/>
      <c r="E189" s="70"/>
      <c r="F189" s="70"/>
      <c r="G189" s="71"/>
      <c r="H189" s="29"/>
      <c r="I189" s="29"/>
      <c r="J189" s="29"/>
      <c r="K189" s="6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29"/>
      <c r="AH189" s="29"/>
      <c r="AI189" s="29"/>
    </row>
    <row r="190" spans="1:35" ht="14.45" customHeight="1" x14ac:dyDescent="0.25">
      <c r="A190" s="29"/>
      <c r="B190" s="69"/>
      <c r="C190" s="29"/>
      <c r="D190" s="29"/>
      <c r="E190" s="70"/>
      <c r="F190" s="70"/>
      <c r="G190" s="71"/>
      <c r="H190" s="29"/>
      <c r="I190" s="29"/>
      <c r="J190" s="29"/>
      <c r="K190" s="6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29"/>
      <c r="AH190" s="29"/>
      <c r="AI190" s="29"/>
    </row>
    <row r="191" spans="1:35" ht="14.45" customHeight="1" x14ac:dyDescent="0.25">
      <c r="A191" s="29"/>
      <c r="B191" s="69"/>
      <c r="C191" s="29"/>
      <c r="D191" s="29"/>
      <c r="E191" s="70"/>
      <c r="F191" s="70"/>
      <c r="G191" s="71"/>
      <c r="H191" s="29"/>
      <c r="I191" s="29"/>
      <c r="J191" s="29"/>
      <c r="K191" s="6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29"/>
      <c r="AB191" s="29"/>
      <c r="AC191" s="29"/>
      <c r="AD191" s="29"/>
      <c r="AE191" s="29"/>
      <c r="AF191" s="29"/>
      <c r="AG191" s="29"/>
      <c r="AH191" s="29"/>
      <c r="AI191" s="29"/>
    </row>
    <row r="192" spans="1:35" ht="14.45" customHeight="1" x14ac:dyDescent="0.25">
      <c r="A192" s="29"/>
      <c r="B192" s="69"/>
      <c r="C192" s="29"/>
      <c r="D192" s="29"/>
      <c r="E192" s="70"/>
      <c r="F192" s="70"/>
      <c r="G192" s="71"/>
      <c r="H192" s="29"/>
      <c r="I192" s="29"/>
      <c r="J192" s="29"/>
      <c r="K192" s="6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29"/>
      <c r="AH192" s="29"/>
      <c r="AI192" s="29"/>
    </row>
    <row r="193" spans="1:35" ht="14.45" customHeight="1" x14ac:dyDescent="0.25">
      <c r="A193" s="29"/>
      <c r="B193" s="69"/>
      <c r="C193" s="29"/>
      <c r="D193" s="29"/>
      <c r="E193" s="70"/>
      <c r="F193" s="70"/>
      <c r="G193" s="71"/>
      <c r="H193" s="29"/>
      <c r="I193" s="29"/>
      <c r="J193" s="29"/>
      <c r="K193" s="6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29"/>
      <c r="AH193" s="29"/>
      <c r="AI193" s="29"/>
    </row>
    <row r="194" spans="1:35" ht="14.45" customHeight="1" x14ac:dyDescent="0.25">
      <c r="A194" s="29"/>
      <c r="B194" s="69"/>
      <c r="C194" s="29"/>
      <c r="D194" s="29"/>
      <c r="E194" s="70"/>
      <c r="F194" s="70"/>
      <c r="G194" s="71"/>
      <c r="H194" s="29"/>
      <c r="I194" s="29"/>
      <c r="J194" s="29"/>
      <c r="K194" s="6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29"/>
      <c r="AB194" s="29"/>
      <c r="AC194" s="29"/>
      <c r="AD194" s="29"/>
      <c r="AE194" s="29"/>
      <c r="AF194" s="29"/>
      <c r="AG194" s="29"/>
      <c r="AH194" s="29"/>
      <c r="AI194" s="29"/>
    </row>
    <row r="195" spans="1:35" ht="14.45" customHeight="1" x14ac:dyDescent="0.25">
      <c r="A195" s="29"/>
      <c r="B195" s="69"/>
      <c r="C195" s="29"/>
      <c r="D195" s="29"/>
      <c r="E195" s="70"/>
      <c r="F195" s="70"/>
      <c r="G195" s="71"/>
      <c r="H195" s="29"/>
      <c r="I195" s="29"/>
      <c r="J195" s="29"/>
      <c r="K195" s="6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</row>
    <row r="196" spans="1:35" ht="14.45" customHeight="1" x14ac:dyDescent="0.25">
      <c r="A196" s="29"/>
      <c r="B196" s="69"/>
      <c r="C196" s="29"/>
      <c r="D196" s="29"/>
      <c r="E196" s="70"/>
      <c r="F196" s="70"/>
      <c r="G196" s="71"/>
      <c r="H196" s="29"/>
      <c r="I196" s="29"/>
      <c r="J196" s="29"/>
      <c r="K196" s="6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29"/>
      <c r="AH196" s="29"/>
      <c r="AI196" s="29"/>
    </row>
    <row r="197" spans="1:35" ht="14.45" customHeight="1" x14ac:dyDescent="0.25">
      <c r="A197" s="29"/>
      <c r="B197" s="69"/>
      <c r="C197" s="29"/>
      <c r="D197" s="29"/>
      <c r="E197" s="70"/>
      <c r="F197" s="70"/>
      <c r="G197" s="71"/>
      <c r="H197" s="29"/>
      <c r="I197" s="29"/>
      <c r="J197" s="29"/>
      <c r="K197" s="6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29"/>
      <c r="AB197" s="29"/>
      <c r="AC197" s="29"/>
      <c r="AD197" s="29"/>
      <c r="AE197" s="29"/>
      <c r="AF197" s="29"/>
      <c r="AG197" s="29"/>
      <c r="AH197" s="29"/>
      <c r="AI197" s="29"/>
    </row>
    <row r="198" spans="1:35" ht="14.45" customHeight="1" x14ac:dyDescent="0.25">
      <c r="A198" s="29"/>
      <c r="B198" s="69"/>
      <c r="C198" s="29"/>
      <c r="D198" s="29"/>
      <c r="E198" s="70"/>
      <c r="F198" s="70"/>
      <c r="G198" s="71"/>
      <c r="H198" s="29"/>
      <c r="I198" s="29"/>
      <c r="J198" s="29"/>
      <c r="K198" s="6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29"/>
      <c r="AH198" s="29"/>
      <c r="AI198" s="29"/>
    </row>
    <row r="199" spans="1:35" ht="14.45" customHeight="1" x14ac:dyDescent="0.25">
      <c r="A199" s="29"/>
      <c r="B199" s="69"/>
      <c r="C199" s="29"/>
      <c r="D199" s="29"/>
      <c r="E199" s="70"/>
      <c r="F199" s="70"/>
      <c r="G199" s="71"/>
      <c r="H199" s="29"/>
      <c r="I199" s="29"/>
      <c r="J199" s="29"/>
      <c r="K199" s="6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29"/>
      <c r="AH199" s="29"/>
      <c r="AI199" s="29"/>
    </row>
    <row r="200" spans="1:35" ht="14.45" customHeight="1" x14ac:dyDescent="0.25">
      <c r="A200" s="29"/>
      <c r="B200" s="69"/>
      <c r="C200" s="29"/>
      <c r="D200" s="29"/>
      <c r="E200" s="70"/>
      <c r="F200" s="70"/>
      <c r="G200" s="71"/>
      <c r="H200" s="29"/>
      <c r="I200" s="29"/>
      <c r="J200" s="29"/>
      <c r="K200" s="6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29"/>
      <c r="AB200" s="29"/>
      <c r="AC200" s="29"/>
      <c r="AD200" s="29"/>
      <c r="AE200" s="29"/>
      <c r="AF200" s="29"/>
      <c r="AG200" s="29"/>
      <c r="AH200" s="29"/>
      <c r="AI200" s="29"/>
    </row>
    <row r="201" spans="1:35" ht="14.45" customHeight="1" x14ac:dyDescent="0.25">
      <c r="A201" s="29"/>
      <c r="B201" s="69"/>
      <c r="C201" s="29"/>
      <c r="D201" s="29"/>
      <c r="E201" s="70"/>
      <c r="F201" s="70"/>
      <c r="G201" s="71"/>
      <c r="H201" s="29"/>
      <c r="I201" s="29"/>
      <c r="J201" s="29"/>
      <c r="K201" s="6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29"/>
      <c r="AH201" s="29"/>
      <c r="AI201" s="29"/>
    </row>
    <row r="202" spans="1:35" ht="14.45" customHeight="1" x14ac:dyDescent="0.25">
      <c r="A202" s="29"/>
      <c r="B202" s="69"/>
      <c r="C202" s="29"/>
      <c r="D202" s="29"/>
      <c r="E202" s="70"/>
      <c r="F202" s="70"/>
      <c r="G202" s="71"/>
      <c r="H202" s="29"/>
      <c r="I202" s="29"/>
      <c r="J202" s="29"/>
      <c r="K202" s="6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29"/>
      <c r="AH202" s="29"/>
      <c r="AI202" s="29"/>
    </row>
    <row r="203" spans="1:35" ht="14.45" customHeight="1" x14ac:dyDescent="0.25">
      <c r="A203" s="29"/>
      <c r="B203" s="69"/>
      <c r="C203" s="29"/>
      <c r="D203" s="29"/>
      <c r="E203" s="70"/>
      <c r="F203" s="70"/>
      <c r="G203" s="71"/>
      <c r="H203" s="29"/>
      <c r="I203" s="29"/>
      <c r="J203" s="29"/>
      <c r="K203" s="6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29"/>
      <c r="AB203" s="29"/>
      <c r="AC203" s="29"/>
      <c r="AD203" s="29"/>
      <c r="AE203" s="29"/>
      <c r="AF203" s="29"/>
      <c r="AG203" s="29"/>
      <c r="AH203" s="29"/>
      <c r="AI203" s="29"/>
    </row>
    <row r="204" spans="1:35" ht="14.45" customHeight="1" x14ac:dyDescent="0.25">
      <c r="A204" s="29"/>
      <c r="B204" s="69"/>
      <c r="C204" s="29"/>
      <c r="D204" s="29"/>
      <c r="E204" s="70"/>
      <c r="F204" s="70"/>
      <c r="G204" s="71"/>
      <c r="H204" s="29"/>
      <c r="I204" s="29"/>
      <c r="J204" s="29"/>
      <c r="K204" s="6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29"/>
      <c r="AH204" s="29"/>
      <c r="AI204" s="29"/>
    </row>
    <row r="205" spans="1:35" ht="14.45" customHeight="1" x14ac:dyDescent="0.25">
      <c r="A205" s="29"/>
      <c r="B205" s="69"/>
      <c r="C205" s="29"/>
      <c r="D205" s="29"/>
      <c r="E205" s="70"/>
      <c r="F205" s="70"/>
      <c r="G205" s="71"/>
      <c r="H205" s="29"/>
      <c r="I205" s="29"/>
      <c r="J205" s="29"/>
      <c r="K205" s="6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29"/>
      <c r="AH205" s="29"/>
      <c r="AI205" s="29"/>
    </row>
    <row r="206" spans="1:35" ht="14.45" customHeight="1" x14ac:dyDescent="0.25">
      <c r="A206" s="29"/>
      <c r="B206" s="69"/>
      <c r="C206" s="29"/>
      <c r="D206" s="29"/>
      <c r="E206" s="70"/>
      <c r="F206" s="70"/>
      <c r="G206" s="71"/>
      <c r="H206" s="29"/>
      <c r="I206" s="29"/>
      <c r="J206" s="29"/>
      <c r="K206" s="6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29"/>
      <c r="AB206" s="29"/>
      <c r="AC206" s="29"/>
      <c r="AD206" s="29"/>
      <c r="AE206" s="29"/>
      <c r="AF206" s="29"/>
      <c r="AG206" s="29"/>
      <c r="AH206" s="29"/>
      <c r="AI206" s="29"/>
    </row>
    <row r="207" spans="1:35" ht="14.45" customHeight="1" x14ac:dyDescent="0.25">
      <c r="A207" s="29"/>
      <c r="B207" s="69"/>
      <c r="C207" s="29"/>
      <c r="D207" s="29"/>
      <c r="E207" s="70"/>
      <c r="F207" s="70"/>
      <c r="G207" s="71"/>
      <c r="H207" s="29"/>
      <c r="I207" s="29"/>
      <c r="J207" s="29"/>
      <c r="K207" s="6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29"/>
      <c r="AH207" s="29"/>
      <c r="AI207" s="29"/>
    </row>
    <row r="208" spans="1:35" ht="14.45" customHeight="1" x14ac:dyDescent="0.25">
      <c r="A208" s="29"/>
      <c r="B208" s="69"/>
      <c r="C208" s="29"/>
      <c r="D208" s="29"/>
      <c r="E208" s="70"/>
      <c r="F208" s="70"/>
      <c r="G208" s="71"/>
      <c r="H208" s="29"/>
      <c r="I208" s="29"/>
      <c r="J208" s="29"/>
      <c r="K208" s="6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29"/>
      <c r="AH208" s="29"/>
      <c r="AI208" s="29"/>
    </row>
    <row r="209" spans="1:35" ht="14.45" customHeight="1" x14ac:dyDescent="0.25">
      <c r="A209" s="29"/>
      <c r="B209" s="69"/>
      <c r="C209" s="29"/>
      <c r="D209" s="29"/>
      <c r="E209" s="70"/>
      <c r="F209" s="70"/>
      <c r="G209" s="71"/>
      <c r="H209" s="29"/>
      <c r="I209" s="29"/>
      <c r="J209" s="29"/>
      <c r="K209" s="6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</row>
    <row r="210" spans="1:35" ht="14.45" customHeight="1" x14ac:dyDescent="0.25">
      <c r="A210" s="29"/>
      <c r="B210" s="69"/>
      <c r="C210" s="29"/>
      <c r="D210" s="29"/>
      <c r="E210" s="70"/>
      <c r="F210" s="70"/>
      <c r="G210" s="71"/>
      <c r="H210" s="29"/>
      <c r="I210" s="29"/>
      <c r="J210" s="29"/>
      <c r="K210" s="6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29"/>
      <c r="AH210" s="29"/>
      <c r="AI210" s="29"/>
    </row>
    <row r="211" spans="1:35" ht="14.45" customHeight="1" x14ac:dyDescent="0.25">
      <c r="A211" s="29"/>
      <c r="B211" s="69"/>
      <c r="C211" s="29"/>
      <c r="D211" s="29"/>
      <c r="E211" s="70"/>
      <c r="F211" s="70"/>
      <c r="G211" s="71"/>
      <c r="H211" s="29"/>
      <c r="I211" s="29"/>
      <c r="J211" s="29"/>
      <c r="K211" s="6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29"/>
      <c r="AH211" s="29"/>
      <c r="AI211" s="29"/>
    </row>
    <row r="212" spans="1:35" ht="14.45" customHeight="1" x14ac:dyDescent="0.25">
      <c r="A212" s="29"/>
      <c r="B212" s="69"/>
      <c r="C212" s="29"/>
      <c r="D212" s="29"/>
      <c r="E212" s="70"/>
      <c r="F212" s="70"/>
      <c r="G212" s="71"/>
      <c r="H212" s="29"/>
      <c r="I212" s="29"/>
      <c r="J212" s="29"/>
      <c r="K212" s="6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29"/>
      <c r="AB212" s="29"/>
      <c r="AC212" s="29"/>
      <c r="AD212" s="29"/>
      <c r="AE212" s="29"/>
      <c r="AF212" s="29"/>
      <c r="AG212" s="29"/>
      <c r="AH212" s="29"/>
      <c r="AI212" s="29"/>
    </row>
    <row r="213" spans="1:35" ht="14.45" customHeight="1" x14ac:dyDescent="0.25">
      <c r="A213" s="29"/>
      <c r="B213" s="69"/>
      <c r="C213" s="29"/>
      <c r="D213" s="29"/>
      <c r="E213" s="70"/>
      <c r="F213" s="70"/>
      <c r="G213" s="71"/>
      <c r="H213" s="29"/>
      <c r="I213" s="29"/>
      <c r="J213" s="29"/>
      <c r="K213" s="6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29"/>
      <c r="AH213" s="29"/>
      <c r="AI213" s="29"/>
    </row>
    <row r="214" spans="1:35" ht="14.45" customHeight="1" x14ac:dyDescent="0.25">
      <c r="A214" s="29"/>
      <c r="B214" s="69"/>
      <c r="C214" s="29"/>
      <c r="D214" s="29"/>
      <c r="E214" s="70"/>
      <c r="F214" s="70"/>
      <c r="G214" s="71"/>
      <c r="H214" s="29"/>
      <c r="I214" s="29"/>
      <c r="J214" s="29"/>
      <c r="K214" s="6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29"/>
      <c r="AH214" s="29"/>
      <c r="AI214" s="29"/>
    </row>
    <row r="215" spans="1:35" ht="14.45" customHeight="1" x14ac:dyDescent="0.25">
      <c r="A215" s="29"/>
      <c r="B215" s="69"/>
      <c r="C215" s="29"/>
      <c r="D215" s="29"/>
      <c r="E215" s="70"/>
      <c r="F215" s="70"/>
      <c r="G215" s="71"/>
      <c r="H215" s="29"/>
      <c r="I215" s="29"/>
      <c r="J215" s="29"/>
      <c r="K215" s="6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29"/>
      <c r="AB215" s="29"/>
      <c r="AC215" s="29"/>
      <c r="AD215" s="29"/>
      <c r="AE215" s="29"/>
      <c r="AF215" s="29"/>
      <c r="AG215" s="29"/>
      <c r="AH215" s="29"/>
      <c r="AI215" s="29"/>
    </row>
    <row r="216" spans="1:35" ht="14.45" customHeight="1" x14ac:dyDescent="0.25">
      <c r="A216" s="29"/>
      <c r="B216" s="69"/>
      <c r="C216" s="29"/>
      <c r="D216" s="29"/>
      <c r="E216" s="70"/>
      <c r="F216" s="70"/>
      <c r="G216" s="71"/>
      <c r="H216" s="29"/>
      <c r="I216" s="29"/>
      <c r="J216" s="29"/>
      <c r="K216" s="6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29"/>
      <c r="AH216" s="29"/>
      <c r="AI216" s="29"/>
    </row>
    <row r="217" spans="1:35" ht="14.45" customHeight="1" x14ac:dyDescent="0.25">
      <c r="A217" s="29"/>
      <c r="B217" s="69"/>
      <c r="C217" s="29"/>
      <c r="D217" s="29"/>
      <c r="E217" s="70"/>
      <c r="F217" s="70"/>
      <c r="G217" s="71"/>
      <c r="H217" s="29"/>
      <c r="I217" s="29"/>
      <c r="J217" s="29"/>
      <c r="K217" s="6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29"/>
      <c r="AH217" s="29"/>
      <c r="AI217" s="29"/>
    </row>
    <row r="218" spans="1:35" ht="14.45" customHeight="1" x14ac:dyDescent="0.25">
      <c r="A218" s="29"/>
      <c r="B218" s="69"/>
      <c r="C218" s="29"/>
      <c r="D218" s="29"/>
      <c r="E218" s="70"/>
      <c r="F218" s="70"/>
      <c r="G218" s="71"/>
      <c r="H218" s="29"/>
      <c r="I218" s="29"/>
      <c r="J218" s="29"/>
      <c r="K218" s="6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</row>
    <row r="219" spans="1:35" ht="14.45" customHeight="1" x14ac:dyDescent="0.25">
      <c r="A219" s="29"/>
      <c r="B219" s="69"/>
      <c r="C219" s="29"/>
      <c r="D219" s="29"/>
      <c r="E219" s="70"/>
      <c r="F219" s="70"/>
      <c r="G219" s="71"/>
      <c r="H219" s="29"/>
      <c r="I219" s="29"/>
      <c r="J219" s="29"/>
      <c r="K219" s="6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29"/>
      <c r="AH219" s="29"/>
      <c r="AI219" s="29"/>
    </row>
    <row r="220" spans="1:35" ht="14.45" customHeight="1" x14ac:dyDescent="0.25">
      <c r="A220" s="29"/>
      <c r="B220" s="69"/>
      <c r="C220" s="29"/>
      <c r="D220" s="29"/>
      <c r="E220" s="70"/>
      <c r="F220" s="70"/>
      <c r="G220" s="71"/>
      <c r="H220" s="29"/>
      <c r="I220" s="29"/>
      <c r="J220" s="29"/>
      <c r="K220" s="6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29"/>
      <c r="AH220" s="29"/>
      <c r="AI220" s="29"/>
    </row>
    <row r="221" spans="1:35" ht="14.45" customHeight="1" x14ac:dyDescent="0.25">
      <c r="A221" s="29"/>
      <c r="B221" s="69"/>
      <c r="C221" s="29"/>
      <c r="D221" s="29"/>
      <c r="E221" s="70"/>
      <c r="F221" s="70"/>
      <c r="G221" s="71"/>
      <c r="H221" s="29"/>
      <c r="I221" s="29"/>
      <c r="J221" s="29"/>
      <c r="K221" s="6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29"/>
      <c r="AB221" s="29"/>
      <c r="AC221" s="29"/>
      <c r="AD221" s="29"/>
      <c r="AE221" s="29"/>
      <c r="AF221" s="29"/>
      <c r="AG221" s="29"/>
      <c r="AH221" s="29"/>
      <c r="AI221" s="29"/>
    </row>
    <row r="222" spans="1:35" ht="14.45" customHeight="1" x14ac:dyDescent="0.25">
      <c r="A222" s="29"/>
      <c r="B222" s="69"/>
      <c r="C222" s="29"/>
      <c r="D222" s="29"/>
      <c r="E222" s="70"/>
      <c r="F222" s="70"/>
      <c r="G222" s="71"/>
      <c r="H222" s="29"/>
      <c r="I222" s="29"/>
      <c r="J222" s="29"/>
      <c r="K222" s="6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29"/>
      <c r="AH222" s="29"/>
      <c r="AI222" s="29"/>
    </row>
    <row r="223" spans="1:35" ht="14.45" customHeight="1" x14ac:dyDescent="0.25">
      <c r="A223" s="29"/>
      <c r="B223" s="69"/>
      <c r="C223" s="29"/>
      <c r="D223" s="29"/>
      <c r="E223" s="70"/>
      <c r="F223" s="70"/>
      <c r="G223" s="71"/>
      <c r="H223" s="29"/>
      <c r="I223" s="29"/>
      <c r="J223" s="29"/>
      <c r="K223" s="6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29"/>
      <c r="AH223" s="29"/>
      <c r="AI223" s="29"/>
    </row>
    <row r="224" spans="1:35" ht="14.45" customHeight="1" x14ac:dyDescent="0.25">
      <c r="A224" s="29"/>
      <c r="B224" s="69"/>
      <c r="C224" s="29"/>
      <c r="D224" s="29"/>
      <c r="E224" s="70"/>
      <c r="F224" s="70"/>
      <c r="G224" s="71"/>
      <c r="H224" s="29"/>
      <c r="I224" s="29"/>
      <c r="J224" s="29"/>
      <c r="K224" s="6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29"/>
      <c r="AB224" s="29"/>
      <c r="AC224" s="29"/>
      <c r="AD224" s="29"/>
      <c r="AE224" s="29"/>
      <c r="AF224" s="29"/>
      <c r="AG224" s="29"/>
      <c r="AH224" s="29"/>
      <c r="AI224" s="29"/>
    </row>
    <row r="225" spans="1:35" ht="14.45" customHeight="1" x14ac:dyDescent="0.25">
      <c r="A225" s="29"/>
      <c r="B225" s="69"/>
      <c r="C225" s="29"/>
      <c r="D225" s="29"/>
      <c r="E225" s="70"/>
      <c r="F225" s="70"/>
      <c r="G225" s="71"/>
      <c r="H225" s="29"/>
      <c r="I225" s="29"/>
      <c r="J225" s="29"/>
      <c r="K225" s="6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29"/>
      <c r="AH225" s="29"/>
      <c r="AI225" s="29"/>
    </row>
    <row r="226" spans="1:35" ht="14.45" customHeight="1" x14ac:dyDescent="0.25">
      <c r="A226" s="29"/>
      <c r="B226" s="69"/>
      <c r="C226" s="29"/>
      <c r="D226" s="29"/>
      <c r="E226" s="70"/>
      <c r="F226" s="70"/>
      <c r="G226" s="71"/>
      <c r="H226" s="29"/>
      <c r="I226" s="29"/>
      <c r="J226" s="29"/>
      <c r="K226" s="6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29"/>
      <c r="AH226" s="29"/>
      <c r="AI226" s="29"/>
    </row>
    <row r="227" spans="1:35" ht="14.45" customHeight="1" x14ac:dyDescent="0.25">
      <c r="A227" s="29"/>
      <c r="B227" s="69"/>
      <c r="C227" s="29"/>
      <c r="D227" s="29"/>
      <c r="E227" s="70"/>
      <c r="F227" s="70"/>
      <c r="G227" s="71"/>
      <c r="H227" s="29"/>
      <c r="I227" s="29"/>
      <c r="J227" s="29"/>
      <c r="K227" s="6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29"/>
      <c r="AB227" s="29"/>
      <c r="AC227" s="29"/>
      <c r="AD227" s="29"/>
      <c r="AE227" s="29"/>
      <c r="AF227" s="29"/>
      <c r="AG227" s="29"/>
      <c r="AH227" s="29"/>
      <c r="AI227" s="29"/>
    </row>
    <row r="228" spans="1:35" ht="14.45" customHeight="1" x14ac:dyDescent="0.25">
      <c r="A228" s="29"/>
      <c r="B228" s="69"/>
      <c r="C228" s="29"/>
      <c r="D228" s="29"/>
      <c r="E228" s="70"/>
      <c r="F228" s="70"/>
      <c r="G228" s="71"/>
      <c r="H228" s="29"/>
      <c r="I228" s="29"/>
      <c r="J228" s="29"/>
      <c r="K228" s="6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29"/>
      <c r="AH228" s="29"/>
      <c r="AI228" s="29"/>
    </row>
    <row r="229" spans="1:35" ht="14.45" customHeight="1" x14ac:dyDescent="0.25">
      <c r="A229" s="29"/>
      <c r="B229" s="69"/>
      <c r="C229" s="29"/>
      <c r="D229" s="29"/>
      <c r="E229" s="70"/>
      <c r="F229" s="70"/>
      <c r="G229" s="71"/>
      <c r="H229" s="29"/>
      <c r="I229" s="29"/>
      <c r="J229" s="29"/>
      <c r="K229" s="6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29"/>
      <c r="AH229" s="29"/>
      <c r="AI229" s="29"/>
    </row>
    <row r="230" spans="1:35" ht="14.45" customHeight="1" x14ac:dyDescent="0.25">
      <c r="A230" s="29"/>
      <c r="B230" s="69"/>
      <c r="C230" s="29"/>
      <c r="D230" s="29"/>
      <c r="E230" s="70"/>
      <c r="F230" s="70"/>
      <c r="G230" s="71"/>
      <c r="H230" s="29"/>
      <c r="I230" s="29"/>
      <c r="J230" s="29"/>
      <c r="K230" s="6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29"/>
      <c r="AB230" s="29"/>
      <c r="AC230" s="29"/>
      <c r="AD230" s="29"/>
      <c r="AE230" s="29"/>
      <c r="AF230" s="29"/>
      <c r="AG230" s="29"/>
      <c r="AH230" s="29"/>
      <c r="AI230" s="29"/>
    </row>
    <row r="231" spans="1:35" ht="14.45" customHeight="1" x14ac:dyDescent="0.25">
      <c r="A231" s="29"/>
      <c r="B231" s="69"/>
      <c r="C231" s="29"/>
      <c r="D231" s="29"/>
      <c r="E231" s="70"/>
      <c r="F231" s="70"/>
      <c r="G231" s="71"/>
      <c r="H231" s="29"/>
      <c r="I231" s="29"/>
      <c r="J231" s="29"/>
      <c r="K231" s="6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29"/>
      <c r="AH231" s="29"/>
      <c r="AI231" s="29"/>
    </row>
    <row r="232" spans="1:35" ht="14.45" customHeight="1" x14ac:dyDescent="0.25">
      <c r="A232" s="29"/>
      <c r="B232" s="69"/>
      <c r="C232" s="29"/>
      <c r="D232" s="29"/>
      <c r="E232" s="70"/>
      <c r="F232" s="70"/>
      <c r="G232" s="71"/>
      <c r="H232" s="29"/>
      <c r="I232" s="29"/>
      <c r="J232" s="29"/>
      <c r="K232" s="6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29"/>
      <c r="AH232" s="29"/>
      <c r="AI232" s="29"/>
    </row>
    <row r="233" spans="1:35" ht="14.45" customHeight="1" x14ac:dyDescent="0.25">
      <c r="A233" s="29"/>
      <c r="B233" s="69"/>
      <c r="C233" s="29"/>
      <c r="D233" s="29"/>
      <c r="E233" s="70"/>
      <c r="F233" s="70"/>
      <c r="G233" s="71"/>
      <c r="H233" s="29"/>
      <c r="I233" s="29"/>
      <c r="J233" s="29"/>
      <c r="K233" s="6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29"/>
      <c r="AB233" s="29"/>
      <c r="AC233" s="29"/>
      <c r="AD233" s="29"/>
      <c r="AE233" s="29"/>
      <c r="AF233" s="29"/>
      <c r="AG233" s="29"/>
      <c r="AH233" s="29"/>
      <c r="AI233" s="29"/>
    </row>
    <row r="234" spans="1:35" ht="14.45" customHeight="1" x14ac:dyDescent="0.25">
      <c r="A234" s="29"/>
      <c r="B234" s="69"/>
      <c r="C234" s="29"/>
      <c r="D234" s="29"/>
      <c r="E234" s="70"/>
      <c r="F234" s="70"/>
      <c r="G234" s="71"/>
      <c r="H234" s="29"/>
      <c r="I234" s="29"/>
      <c r="J234" s="29"/>
      <c r="K234" s="6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29"/>
      <c r="AH234" s="29"/>
      <c r="AI234" s="29"/>
    </row>
    <row r="235" spans="1:35" ht="14.45" customHeight="1" x14ac:dyDescent="0.25">
      <c r="A235" s="29"/>
      <c r="B235" s="69"/>
      <c r="C235" s="29"/>
      <c r="D235" s="29"/>
      <c r="E235" s="70"/>
      <c r="F235" s="70"/>
      <c r="G235" s="71"/>
      <c r="H235" s="29"/>
      <c r="I235" s="29"/>
      <c r="J235" s="29"/>
      <c r="K235" s="6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29"/>
      <c r="AH235" s="29"/>
      <c r="AI235" s="29"/>
    </row>
    <row r="236" spans="1:35" ht="14.45" customHeight="1" x14ac:dyDescent="0.25">
      <c r="A236" s="29"/>
      <c r="B236" s="69"/>
      <c r="C236" s="29"/>
      <c r="D236" s="29"/>
      <c r="E236" s="70"/>
      <c r="F236" s="70"/>
      <c r="G236" s="71"/>
      <c r="H236" s="29"/>
      <c r="I236" s="29"/>
      <c r="J236" s="29"/>
      <c r="K236" s="6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29"/>
      <c r="AB236" s="29"/>
      <c r="AC236" s="29"/>
      <c r="AD236" s="29"/>
      <c r="AE236" s="29"/>
      <c r="AF236" s="29"/>
      <c r="AG236" s="29"/>
      <c r="AH236" s="29"/>
      <c r="AI236" s="29"/>
    </row>
    <row r="237" spans="1:35" ht="14.45" customHeight="1" x14ac:dyDescent="0.25">
      <c r="A237" s="29"/>
      <c r="B237" s="69"/>
      <c r="C237" s="29"/>
      <c r="D237" s="29"/>
      <c r="E237" s="70"/>
      <c r="F237" s="70"/>
      <c r="G237" s="71"/>
      <c r="H237" s="29"/>
      <c r="I237" s="29"/>
      <c r="J237" s="29"/>
      <c r="K237" s="6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29"/>
      <c r="AH237" s="29"/>
      <c r="AI237" s="29"/>
    </row>
    <row r="238" spans="1:35" ht="14.45" customHeight="1" x14ac:dyDescent="0.25">
      <c r="A238" s="29"/>
      <c r="B238" s="69"/>
      <c r="C238" s="29"/>
      <c r="D238" s="29"/>
      <c r="E238" s="70"/>
      <c r="F238" s="70"/>
      <c r="G238" s="71"/>
      <c r="H238" s="29"/>
      <c r="I238" s="29"/>
      <c r="J238" s="29"/>
      <c r="K238" s="6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29"/>
      <c r="AH238" s="29"/>
      <c r="AI238" s="29"/>
    </row>
    <row r="239" spans="1:35" ht="14.45" customHeight="1" x14ac:dyDescent="0.25">
      <c r="A239" s="29"/>
      <c r="B239" s="69"/>
      <c r="C239" s="29"/>
      <c r="D239" s="29"/>
      <c r="E239" s="70"/>
      <c r="F239" s="70"/>
      <c r="G239" s="71"/>
      <c r="H239" s="29"/>
      <c r="I239" s="29"/>
      <c r="J239" s="29"/>
      <c r="K239" s="6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29"/>
      <c r="AB239" s="29"/>
      <c r="AC239" s="29"/>
      <c r="AD239" s="29"/>
      <c r="AE239" s="29"/>
      <c r="AF239" s="29"/>
      <c r="AG239" s="29"/>
      <c r="AH239" s="29"/>
      <c r="AI239" s="29"/>
    </row>
    <row r="240" spans="1:35" ht="14.45" customHeight="1" x14ac:dyDescent="0.25">
      <c r="A240" s="29"/>
      <c r="B240" s="69"/>
      <c r="C240" s="29"/>
      <c r="D240" s="29"/>
      <c r="E240" s="70"/>
      <c r="F240" s="70"/>
      <c r="G240" s="71"/>
      <c r="H240" s="29"/>
      <c r="I240" s="29"/>
      <c r="J240" s="29"/>
      <c r="K240" s="6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29"/>
      <c r="AH240" s="29"/>
      <c r="AI240" s="29"/>
    </row>
    <row r="241" spans="1:35" ht="14.45" customHeight="1" x14ac:dyDescent="0.25">
      <c r="A241" s="29"/>
      <c r="B241" s="69"/>
      <c r="C241" s="29"/>
      <c r="D241" s="29"/>
      <c r="E241" s="70"/>
      <c r="F241" s="70"/>
      <c r="G241" s="71"/>
      <c r="H241" s="29"/>
      <c r="I241" s="29"/>
      <c r="J241" s="29"/>
      <c r="K241" s="6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29"/>
      <c r="AH241" s="29"/>
      <c r="AI241" s="29"/>
    </row>
    <row r="242" spans="1:35" ht="14.45" customHeight="1" x14ac:dyDescent="0.25">
      <c r="A242" s="29"/>
      <c r="B242" s="69"/>
      <c r="C242" s="29"/>
      <c r="D242" s="29"/>
      <c r="E242" s="70"/>
      <c r="F242" s="70"/>
      <c r="G242" s="71"/>
      <c r="H242" s="29"/>
      <c r="I242" s="29"/>
      <c r="J242" s="29"/>
      <c r="K242" s="6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</row>
    <row r="243" spans="1:35" ht="14.45" customHeight="1" x14ac:dyDescent="0.25">
      <c r="A243" s="29"/>
      <c r="B243" s="69"/>
      <c r="C243" s="29"/>
      <c r="D243" s="29"/>
      <c r="E243" s="70"/>
      <c r="F243" s="70"/>
      <c r="G243" s="71"/>
      <c r="H243" s="29"/>
      <c r="I243" s="29"/>
      <c r="J243" s="29"/>
      <c r="K243" s="6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29"/>
      <c r="AH243" s="29"/>
      <c r="AI243" s="29"/>
    </row>
    <row r="244" spans="1:35" ht="14.45" customHeight="1" x14ac:dyDescent="0.25">
      <c r="A244" s="29"/>
      <c r="B244" s="69"/>
      <c r="C244" s="29"/>
      <c r="D244" s="29"/>
      <c r="E244" s="70"/>
      <c r="F244" s="70"/>
      <c r="G244" s="71"/>
      <c r="H244" s="29"/>
      <c r="I244" s="29"/>
      <c r="J244" s="29"/>
      <c r="K244" s="6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</row>
    <row r="245" spans="1:35" ht="14.45" customHeight="1" x14ac:dyDescent="0.25">
      <c r="A245" s="29"/>
      <c r="B245" s="69"/>
      <c r="C245" s="29"/>
      <c r="D245" s="29"/>
      <c r="E245" s="70"/>
      <c r="F245" s="70"/>
      <c r="G245" s="71"/>
      <c r="H245" s="29"/>
      <c r="I245" s="29"/>
      <c r="J245" s="29"/>
      <c r="K245" s="6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  <c r="AG245" s="29"/>
      <c r="AH245" s="29"/>
      <c r="AI245" s="29"/>
    </row>
    <row r="246" spans="1:35" ht="14.45" customHeight="1" x14ac:dyDescent="0.25">
      <c r="A246" s="29"/>
      <c r="B246" s="69"/>
      <c r="C246" s="29"/>
      <c r="D246" s="29"/>
      <c r="E246" s="70"/>
      <c r="F246" s="70"/>
      <c r="G246" s="71"/>
      <c r="H246" s="29"/>
      <c r="I246" s="29"/>
      <c r="J246" s="29"/>
      <c r="K246" s="6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29"/>
      <c r="AH246" s="29"/>
      <c r="AI246" s="29"/>
    </row>
    <row r="247" spans="1:35" ht="14.45" customHeight="1" x14ac:dyDescent="0.25">
      <c r="A247" s="29"/>
      <c r="B247" s="69"/>
      <c r="C247" s="29"/>
      <c r="D247" s="29"/>
      <c r="E247" s="70"/>
      <c r="F247" s="70"/>
      <c r="G247" s="71"/>
      <c r="H247" s="29"/>
      <c r="I247" s="29"/>
      <c r="J247" s="29"/>
      <c r="K247" s="6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29"/>
      <c r="AH247" s="29"/>
      <c r="AI247" s="29"/>
    </row>
    <row r="248" spans="1:35" ht="14.45" customHeight="1" x14ac:dyDescent="0.25">
      <c r="A248" s="29"/>
      <c r="B248" s="69"/>
      <c r="C248" s="29"/>
      <c r="D248" s="29"/>
      <c r="E248" s="70"/>
      <c r="F248" s="70"/>
      <c r="G248" s="71"/>
      <c r="H248" s="29"/>
      <c r="I248" s="29"/>
      <c r="J248" s="29"/>
      <c r="K248" s="6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29"/>
      <c r="AB248" s="29"/>
      <c r="AC248" s="29"/>
      <c r="AD248" s="29"/>
      <c r="AE248" s="29"/>
      <c r="AF248" s="29"/>
      <c r="AG248" s="29"/>
      <c r="AH248" s="29"/>
      <c r="AI248" s="29"/>
    </row>
    <row r="249" spans="1:35" ht="14.45" customHeight="1" x14ac:dyDescent="0.25">
      <c r="A249" s="29"/>
      <c r="B249" s="69"/>
      <c r="C249" s="29"/>
      <c r="D249" s="29"/>
      <c r="E249" s="70"/>
      <c r="F249" s="70"/>
      <c r="G249" s="71"/>
      <c r="H249" s="29"/>
      <c r="I249" s="29"/>
      <c r="J249" s="29"/>
      <c r="K249" s="6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29"/>
      <c r="AH249" s="29"/>
      <c r="AI249" s="29"/>
    </row>
    <row r="250" spans="1:35" ht="14.45" customHeight="1" x14ac:dyDescent="0.25">
      <c r="A250" s="29"/>
      <c r="B250" s="69"/>
      <c r="C250" s="29"/>
      <c r="D250" s="29"/>
      <c r="E250" s="70"/>
      <c r="F250" s="70"/>
      <c r="G250" s="71"/>
      <c r="H250" s="29"/>
      <c r="I250" s="29"/>
      <c r="J250" s="29"/>
      <c r="K250" s="6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29"/>
      <c r="AH250" s="29"/>
      <c r="AI250" s="29"/>
    </row>
    <row r="251" spans="1:35" ht="14.45" customHeight="1" x14ac:dyDescent="0.25">
      <c r="A251" s="29"/>
      <c r="B251" s="69"/>
      <c r="C251" s="29"/>
      <c r="D251" s="29"/>
      <c r="E251" s="70"/>
      <c r="F251" s="70"/>
      <c r="G251" s="71"/>
      <c r="H251" s="29"/>
      <c r="I251" s="29"/>
      <c r="J251" s="29"/>
      <c r="K251" s="6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  <c r="AG251" s="29"/>
      <c r="AH251" s="29"/>
      <c r="AI251" s="29"/>
    </row>
    <row r="252" spans="1:35" ht="14.45" customHeight="1" x14ac:dyDescent="0.25">
      <c r="A252" s="29"/>
      <c r="B252" s="69"/>
      <c r="C252" s="29"/>
      <c r="D252" s="29"/>
      <c r="E252" s="70"/>
      <c r="F252" s="70"/>
      <c r="G252" s="71"/>
      <c r="H252" s="29"/>
      <c r="I252" s="29"/>
      <c r="J252" s="29"/>
      <c r="K252" s="6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29"/>
      <c r="AH252" s="29"/>
      <c r="AI252" s="29"/>
    </row>
    <row r="253" spans="1:35" ht="14.45" customHeight="1" x14ac:dyDescent="0.25">
      <c r="A253" s="29"/>
      <c r="B253" s="69"/>
      <c r="C253" s="29"/>
      <c r="D253" s="29"/>
      <c r="E253" s="70"/>
      <c r="F253" s="70"/>
      <c r="G253" s="71"/>
      <c r="H253" s="29"/>
      <c r="I253" s="29"/>
      <c r="J253" s="29"/>
      <c r="K253" s="6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29"/>
      <c r="AH253" s="29"/>
      <c r="AI253" s="29"/>
    </row>
    <row r="254" spans="1:35" ht="14.45" customHeight="1" x14ac:dyDescent="0.25">
      <c r="A254" s="29"/>
      <c r="B254" s="69"/>
      <c r="C254" s="29"/>
      <c r="D254" s="29"/>
      <c r="E254" s="70"/>
      <c r="F254" s="70"/>
      <c r="G254" s="71"/>
      <c r="H254" s="29"/>
      <c r="I254" s="29"/>
      <c r="J254" s="29"/>
      <c r="K254" s="6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29"/>
      <c r="AB254" s="29"/>
      <c r="AC254" s="29"/>
      <c r="AD254" s="29"/>
      <c r="AE254" s="29"/>
      <c r="AF254" s="29"/>
      <c r="AG254" s="29"/>
      <c r="AH254" s="29"/>
      <c r="AI254" s="29"/>
    </row>
    <row r="255" spans="1:35" ht="14.45" customHeight="1" x14ac:dyDescent="0.25">
      <c r="A255" s="29"/>
      <c r="B255" s="69"/>
      <c r="C255" s="29"/>
      <c r="D255" s="29"/>
      <c r="E255" s="70"/>
      <c r="F255" s="70"/>
      <c r="G255" s="71"/>
      <c r="H255" s="29"/>
      <c r="I255" s="29"/>
      <c r="J255" s="29"/>
      <c r="K255" s="6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29"/>
      <c r="AH255" s="29"/>
      <c r="AI255" s="29"/>
    </row>
    <row r="256" spans="1:35" ht="14.45" customHeight="1" x14ac:dyDescent="0.25">
      <c r="A256" s="29"/>
      <c r="B256" s="69"/>
      <c r="C256" s="29"/>
      <c r="D256" s="29"/>
      <c r="E256" s="70"/>
      <c r="F256" s="70"/>
      <c r="G256" s="71"/>
      <c r="H256" s="29"/>
      <c r="I256" s="29"/>
      <c r="J256" s="29"/>
      <c r="K256" s="6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29"/>
      <c r="AH256" s="29"/>
      <c r="AI256" s="29"/>
    </row>
    <row r="257" spans="1:35" ht="14.45" customHeight="1" x14ac:dyDescent="0.25">
      <c r="A257" s="29"/>
      <c r="B257" s="69"/>
      <c r="C257" s="29"/>
      <c r="D257" s="29"/>
      <c r="E257" s="70"/>
      <c r="F257" s="70"/>
      <c r="G257" s="71"/>
      <c r="H257" s="29"/>
      <c r="I257" s="29"/>
      <c r="J257" s="29"/>
      <c r="K257" s="6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  <c r="AH257" s="29"/>
      <c r="AI257" s="29"/>
    </row>
    <row r="258" spans="1:35" ht="14.45" customHeight="1" x14ac:dyDescent="0.25">
      <c r="A258" s="29"/>
      <c r="B258" s="69"/>
      <c r="C258" s="29"/>
      <c r="D258" s="29"/>
      <c r="E258" s="70"/>
      <c r="F258" s="70"/>
      <c r="G258" s="71"/>
      <c r="H258" s="29"/>
      <c r="I258" s="29"/>
      <c r="J258" s="29"/>
      <c r="K258" s="6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29"/>
      <c r="AH258" s="29"/>
      <c r="AI258" s="29"/>
    </row>
    <row r="259" spans="1:35" ht="14.45" customHeight="1" x14ac:dyDescent="0.25">
      <c r="A259" s="29"/>
      <c r="B259" s="69"/>
      <c r="C259" s="29"/>
      <c r="D259" s="29"/>
      <c r="E259" s="70"/>
      <c r="F259" s="70"/>
      <c r="G259" s="71"/>
      <c r="H259" s="29"/>
      <c r="I259" s="29"/>
      <c r="J259" s="29"/>
      <c r="K259" s="6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  <c r="AH259" s="29"/>
      <c r="AI259" s="29"/>
    </row>
    <row r="260" spans="1:35" ht="14.45" customHeight="1" x14ac:dyDescent="0.25">
      <c r="A260" s="29"/>
      <c r="B260" s="69"/>
      <c r="C260" s="29"/>
      <c r="D260" s="29"/>
      <c r="E260" s="70"/>
      <c r="F260" s="70"/>
      <c r="G260" s="71"/>
      <c r="H260" s="29"/>
      <c r="I260" s="29"/>
      <c r="J260" s="29"/>
      <c r="K260" s="6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  <c r="AG260" s="29"/>
      <c r="AH260" s="29"/>
      <c r="AI260" s="29"/>
    </row>
    <row r="261" spans="1:35" ht="14.45" customHeight="1" x14ac:dyDescent="0.25">
      <c r="A261" s="29"/>
      <c r="B261" s="69"/>
      <c r="C261" s="29"/>
      <c r="D261" s="29"/>
      <c r="E261" s="70"/>
      <c r="F261" s="70"/>
      <c r="G261" s="71"/>
      <c r="H261" s="29"/>
      <c r="I261" s="29"/>
      <c r="J261" s="29"/>
      <c r="K261" s="6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</row>
    <row r="262" spans="1:35" ht="14.45" customHeight="1" x14ac:dyDescent="0.25">
      <c r="A262" s="29"/>
      <c r="B262" s="69"/>
      <c r="C262" s="29"/>
      <c r="D262" s="29"/>
      <c r="E262" s="70"/>
      <c r="F262" s="70"/>
      <c r="G262" s="71"/>
      <c r="H262" s="29"/>
      <c r="I262" s="29"/>
      <c r="J262" s="29"/>
      <c r="K262" s="6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29"/>
      <c r="AH262" s="29"/>
      <c r="AI262" s="29"/>
    </row>
    <row r="263" spans="1:35" ht="14.45" customHeight="1" x14ac:dyDescent="0.25">
      <c r="A263" s="29"/>
      <c r="B263" s="69"/>
      <c r="C263" s="29"/>
      <c r="D263" s="29"/>
      <c r="E263" s="70"/>
      <c r="F263" s="70"/>
      <c r="G263" s="71"/>
      <c r="H263" s="29"/>
      <c r="I263" s="29"/>
      <c r="J263" s="29"/>
      <c r="K263" s="6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  <c r="AH263" s="29"/>
      <c r="AI263" s="29"/>
    </row>
    <row r="264" spans="1:35" ht="14.45" customHeight="1" x14ac:dyDescent="0.25">
      <c r="A264" s="29"/>
      <c r="B264" s="69"/>
      <c r="C264" s="29"/>
      <c r="D264" s="29"/>
      <c r="E264" s="70"/>
      <c r="F264" s="70"/>
      <c r="G264" s="71"/>
      <c r="H264" s="29"/>
      <c r="I264" s="29"/>
      <c r="J264" s="29"/>
      <c r="K264" s="6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29"/>
      <c r="AH264" s="29"/>
      <c r="AI264" s="29"/>
    </row>
    <row r="265" spans="1:35" ht="14.45" customHeight="1" x14ac:dyDescent="0.25">
      <c r="A265" s="29"/>
      <c r="B265" s="69"/>
      <c r="C265" s="29"/>
      <c r="D265" s="29"/>
      <c r="E265" s="70"/>
      <c r="F265" s="70"/>
      <c r="G265" s="71"/>
      <c r="H265" s="29"/>
      <c r="I265" s="29"/>
      <c r="J265" s="29"/>
      <c r="K265" s="6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29"/>
      <c r="AH265" s="29"/>
      <c r="AI265" s="29"/>
    </row>
    <row r="266" spans="1:35" ht="14.45" customHeight="1" x14ac:dyDescent="0.25">
      <c r="A266" s="29"/>
      <c r="B266" s="69"/>
      <c r="C266" s="29"/>
      <c r="D266" s="29"/>
      <c r="E266" s="70"/>
      <c r="F266" s="70"/>
      <c r="G266" s="71"/>
      <c r="H266" s="29"/>
      <c r="I266" s="29"/>
      <c r="J266" s="29"/>
      <c r="K266" s="6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29"/>
      <c r="AB266" s="29"/>
      <c r="AC266" s="29"/>
      <c r="AD266" s="29"/>
      <c r="AE266" s="29"/>
      <c r="AF266" s="29"/>
      <c r="AG266" s="29"/>
      <c r="AH266" s="29"/>
      <c r="AI266" s="29"/>
    </row>
    <row r="267" spans="1:35" ht="14.45" customHeight="1" x14ac:dyDescent="0.25">
      <c r="A267" s="29"/>
      <c r="B267" s="69"/>
      <c r="C267" s="29"/>
      <c r="D267" s="29"/>
      <c r="E267" s="70"/>
      <c r="F267" s="70"/>
      <c r="G267" s="71"/>
      <c r="H267" s="29"/>
      <c r="I267" s="29"/>
      <c r="J267" s="29"/>
      <c r="K267" s="6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29"/>
      <c r="AH267" s="29"/>
      <c r="AI267" s="29"/>
    </row>
    <row r="268" spans="1:35" ht="14.45" customHeight="1" x14ac:dyDescent="0.25">
      <c r="A268" s="29"/>
      <c r="B268" s="69"/>
      <c r="C268" s="29"/>
      <c r="D268" s="29"/>
      <c r="E268" s="70"/>
      <c r="F268" s="70"/>
      <c r="G268" s="71"/>
      <c r="H268" s="29"/>
      <c r="I268" s="29"/>
      <c r="J268" s="29"/>
      <c r="K268" s="6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29"/>
      <c r="AH268" s="29"/>
      <c r="AI268" s="29"/>
    </row>
    <row r="269" spans="1:35" ht="14.45" customHeight="1" x14ac:dyDescent="0.25">
      <c r="A269" s="29"/>
      <c r="B269" s="69"/>
      <c r="C269" s="29"/>
      <c r="D269" s="29"/>
      <c r="E269" s="70"/>
      <c r="F269" s="70"/>
      <c r="G269" s="71"/>
      <c r="H269" s="29"/>
      <c r="I269" s="29"/>
      <c r="J269" s="29"/>
      <c r="K269" s="6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  <c r="AH269" s="29"/>
      <c r="AI269" s="29"/>
    </row>
    <row r="270" spans="1:35" ht="14.45" customHeight="1" x14ac:dyDescent="0.25">
      <c r="A270" s="29"/>
      <c r="B270" s="69"/>
      <c r="C270" s="29"/>
      <c r="D270" s="29"/>
      <c r="E270" s="70"/>
      <c r="F270" s="70"/>
      <c r="G270" s="71"/>
      <c r="H270" s="29"/>
      <c r="I270" s="29"/>
      <c r="J270" s="29"/>
      <c r="K270" s="6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29"/>
      <c r="AH270" s="29"/>
      <c r="AI270" s="29"/>
    </row>
    <row r="271" spans="1:35" ht="14.45" customHeight="1" x14ac:dyDescent="0.25">
      <c r="A271" s="29"/>
      <c r="B271" s="69"/>
      <c r="C271" s="29"/>
      <c r="D271" s="29"/>
      <c r="E271" s="70"/>
      <c r="F271" s="70"/>
      <c r="G271" s="71"/>
      <c r="H271" s="29"/>
      <c r="I271" s="29"/>
      <c r="J271" s="29"/>
      <c r="K271" s="6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  <c r="AH271" s="29"/>
      <c r="AI271" s="29"/>
    </row>
    <row r="272" spans="1:35" ht="14.45" customHeight="1" x14ac:dyDescent="0.25">
      <c r="A272" s="29"/>
      <c r="B272" s="69"/>
      <c r="C272" s="29"/>
      <c r="D272" s="29"/>
      <c r="E272" s="70"/>
      <c r="F272" s="70"/>
      <c r="G272" s="71"/>
      <c r="H272" s="29"/>
      <c r="I272" s="29"/>
      <c r="J272" s="29"/>
      <c r="K272" s="6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29"/>
      <c r="AB272" s="29"/>
      <c r="AC272" s="29"/>
      <c r="AD272" s="29"/>
      <c r="AE272" s="29"/>
      <c r="AF272" s="29"/>
      <c r="AG272" s="29"/>
      <c r="AH272" s="29"/>
      <c r="AI272" s="29"/>
    </row>
    <row r="273" spans="1:35" ht="14.45" customHeight="1" x14ac:dyDescent="0.25">
      <c r="A273" s="29"/>
      <c r="B273" s="69"/>
      <c r="C273" s="29"/>
      <c r="D273" s="29"/>
      <c r="E273" s="70"/>
      <c r="F273" s="70"/>
      <c r="G273" s="71"/>
      <c r="H273" s="29"/>
      <c r="I273" s="29"/>
      <c r="J273" s="29"/>
      <c r="K273" s="6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29"/>
      <c r="AH273" s="29"/>
      <c r="AI273" s="29"/>
    </row>
    <row r="274" spans="1:35" ht="14.45" customHeight="1" x14ac:dyDescent="0.25">
      <c r="A274" s="29"/>
      <c r="B274" s="69"/>
      <c r="C274" s="29"/>
      <c r="D274" s="29"/>
      <c r="E274" s="70"/>
      <c r="F274" s="70"/>
      <c r="G274" s="71"/>
      <c r="H274" s="29"/>
      <c r="I274" s="29"/>
      <c r="J274" s="29"/>
      <c r="K274" s="6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29"/>
      <c r="AH274" s="29"/>
      <c r="AI274" s="29"/>
    </row>
    <row r="275" spans="1:35" ht="14.45" customHeight="1" x14ac:dyDescent="0.25">
      <c r="A275" s="29"/>
      <c r="B275" s="69"/>
      <c r="C275" s="29"/>
      <c r="D275" s="29"/>
      <c r="E275" s="70"/>
      <c r="F275" s="70"/>
      <c r="G275" s="71"/>
      <c r="H275" s="29"/>
      <c r="I275" s="29"/>
      <c r="J275" s="29"/>
      <c r="K275" s="6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29"/>
      <c r="AB275" s="29"/>
      <c r="AC275" s="29"/>
      <c r="AD275" s="29"/>
      <c r="AE275" s="29"/>
      <c r="AF275" s="29"/>
      <c r="AG275" s="29"/>
      <c r="AH275" s="29"/>
      <c r="AI275" s="29"/>
    </row>
    <row r="276" spans="1:35" ht="14.45" customHeight="1" x14ac:dyDescent="0.25">
      <c r="A276" s="29"/>
      <c r="B276" s="69"/>
      <c r="C276" s="29"/>
      <c r="D276" s="29"/>
      <c r="E276" s="70"/>
      <c r="F276" s="70"/>
      <c r="G276" s="71"/>
      <c r="H276" s="29"/>
      <c r="I276" s="29"/>
      <c r="J276" s="29"/>
      <c r="K276" s="6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  <c r="AG276" s="29"/>
      <c r="AH276" s="29"/>
      <c r="AI276" s="29"/>
    </row>
    <row r="277" spans="1:35" ht="14.45" customHeight="1" x14ac:dyDescent="0.25">
      <c r="A277" s="29"/>
      <c r="B277" s="69"/>
      <c r="C277" s="29"/>
      <c r="D277" s="29"/>
      <c r="E277" s="70"/>
      <c r="F277" s="70"/>
      <c r="G277" s="71"/>
      <c r="H277" s="29"/>
      <c r="I277" s="29"/>
      <c r="J277" s="29"/>
      <c r="K277" s="6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29"/>
      <c r="AH277" s="29"/>
      <c r="AI277" s="29"/>
    </row>
    <row r="278" spans="1:35" ht="14.45" customHeight="1" x14ac:dyDescent="0.25">
      <c r="A278" s="29"/>
      <c r="B278" s="69"/>
      <c r="C278" s="29"/>
      <c r="D278" s="29"/>
      <c r="E278" s="70"/>
      <c r="F278" s="70"/>
      <c r="G278" s="71"/>
      <c r="H278" s="29"/>
      <c r="I278" s="29"/>
      <c r="J278" s="29"/>
      <c r="K278" s="6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29"/>
      <c r="AB278" s="29"/>
      <c r="AC278" s="29"/>
      <c r="AD278" s="29"/>
      <c r="AE278" s="29"/>
      <c r="AF278" s="29"/>
      <c r="AG278" s="29"/>
      <c r="AH278" s="29"/>
      <c r="AI278" s="29"/>
    </row>
    <row r="279" spans="1:35" ht="14.45" customHeight="1" x14ac:dyDescent="0.25">
      <c r="A279" s="29"/>
      <c r="B279" s="69"/>
      <c r="C279" s="29"/>
      <c r="D279" s="29"/>
      <c r="E279" s="70"/>
      <c r="F279" s="70"/>
      <c r="G279" s="71"/>
      <c r="H279" s="29"/>
      <c r="I279" s="29"/>
      <c r="J279" s="29"/>
      <c r="K279" s="6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29"/>
      <c r="AH279" s="29"/>
      <c r="AI279" s="29"/>
    </row>
    <row r="280" spans="1:35" ht="14.45" customHeight="1" x14ac:dyDescent="0.25">
      <c r="A280" s="29"/>
      <c r="B280" s="69"/>
      <c r="C280" s="29"/>
      <c r="D280" s="29"/>
      <c r="E280" s="70"/>
      <c r="F280" s="70"/>
      <c r="G280" s="71"/>
      <c r="H280" s="29"/>
      <c r="I280" s="29"/>
      <c r="J280" s="29"/>
      <c r="K280" s="6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29"/>
      <c r="AH280" s="29"/>
      <c r="AI280" s="29"/>
    </row>
    <row r="281" spans="1:35" ht="14.45" customHeight="1" x14ac:dyDescent="0.25">
      <c r="A281" s="29"/>
      <c r="B281" s="69"/>
      <c r="C281" s="29"/>
      <c r="D281" s="29"/>
      <c r="E281" s="70"/>
      <c r="F281" s="70"/>
      <c r="G281" s="71"/>
      <c r="H281" s="29"/>
      <c r="I281" s="29"/>
      <c r="J281" s="29"/>
      <c r="K281" s="6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29"/>
      <c r="AB281" s="29"/>
      <c r="AC281" s="29"/>
      <c r="AD281" s="29"/>
      <c r="AE281" s="29"/>
      <c r="AF281" s="29"/>
      <c r="AG281" s="29"/>
      <c r="AH281" s="29"/>
      <c r="AI281" s="29"/>
    </row>
    <row r="282" spans="1:35" ht="14.45" customHeight="1" x14ac:dyDescent="0.25">
      <c r="A282" s="29"/>
      <c r="B282" s="69"/>
      <c r="C282" s="29"/>
      <c r="D282" s="29"/>
      <c r="E282" s="70"/>
      <c r="F282" s="70"/>
      <c r="G282" s="71"/>
      <c r="H282" s="29"/>
      <c r="I282" s="29"/>
      <c r="J282" s="29"/>
      <c r="K282" s="6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29"/>
      <c r="AH282" s="29"/>
      <c r="AI282" s="29"/>
    </row>
    <row r="283" spans="1:35" ht="14.45" customHeight="1" x14ac:dyDescent="0.25">
      <c r="A283" s="29"/>
      <c r="B283" s="69"/>
      <c r="C283" s="29"/>
      <c r="D283" s="29"/>
      <c r="E283" s="70"/>
      <c r="F283" s="70"/>
      <c r="G283" s="71"/>
      <c r="H283" s="29"/>
      <c r="I283" s="29"/>
      <c r="J283" s="29"/>
      <c r="K283" s="6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29"/>
      <c r="AH283" s="29"/>
      <c r="AI283" s="29"/>
    </row>
    <row r="284" spans="1:35" ht="14.45" customHeight="1" x14ac:dyDescent="0.25">
      <c r="A284" s="29"/>
      <c r="B284" s="69"/>
      <c r="C284" s="29"/>
      <c r="D284" s="29"/>
      <c r="E284" s="70"/>
      <c r="F284" s="70"/>
      <c r="G284" s="71"/>
      <c r="H284" s="29"/>
      <c r="I284" s="29"/>
      <c r="J284" s="29"/>
      <c r="K284" s="6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29"/>
      <c r="AB284" s="29"/>
      <c r="AC284" s="29"/>
      <c r="AD284" s="29"/>
      <c r="AE284" s="29"/>
      <c r="AF284" s="29"/>
      <c r="AG284" s="29"/>
      <c r="AH284" s="29"/>
      <c r="AI284" s="29"/>
    </row>
    <row r="285" spans="1:35" ht="14.45" customHeight="1" x14ac:dyDescent="0.25">
      <c r="A285" s="29"/>
      <c r="B285" s="69"/>
      <c r="C285" s="29"/>
      <c r="D285" s="29"/>
      <c r="E285" s="70"/>
      <c r="F285" s="70"/>
      <c r="G285" s="71"/>
      <c r="H285" s="29"/>
      <c r="I285" s="29"/>
      <c r="J285" s="29"/>
      <c r="K285" s="6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29"/>
      <c r="AH285" s="29"/>
      <c r="AI285" s="29"/>
    </row>
    <row r="286" spans="1:35" ht="14.45" customHeight="1" x14ac:dyDescent="0.25">
      <c r="A286" s="29"/>
      <c r="B286" s="69"/>
      <c r="C286" s="29"/>
      <c r="D286" s="29"/>
      <c r="E286" s="70"/>
      <c r="F286" s="70"/>
      <c r="G286" s="71"/>
      <c r="H286" s="29"/>
      <c r="I286" s="29"/>
      <c r="J286" s="29"/>
      <c r="K286" s="6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  <c r="AG286" s="29"/>
      <c r="AH286" s="29"/>
      <c r="AI286" s="29"/>
    </row>
    <row r="287" spans="1:35" ht="14.45" customHeight="1" x14ac:dyDescent="0.25">
      <c r="A287" s="29"/>
      <c r="B287" s="69"/>
      <c r="C287" s="29"/>
      <c r="D287" s="29"/>
      <c r="E287" s="70"/>
      <c r="F287" s="70"/>
      <c r="G287" s="71"/>
      <c r="H287" s="29"/>
      <c r="I287" s="29"/>
      <c r="J287" s="29"/>
      <c r="K287" s="6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29"/>
      <c r="AB287" s="29"/>
      <c r="AC287" s="29"/>
      <c r="AD287" s="29"/>
      <c r="AE287" s="29"/>
      <c r="AF287" s="29"/>
      <c r="AG287" s="29"/>
      <c r="AH287" s="29"/>
      <c r="AI287" s="29"/>
    </row>
    <row r="288" spans="1:35" ht="14.45" customHeight="1" x14ac:dyDescent="0.25">
      <c r="A288" s="29"/>
      <c r="B288" s="69"/>
      <c r="C288" s="29"/>
      <c r="D288" s="29"/>
      <c r="E288" s="70"/>
      <c r="F288" s="70"/>
      <c r="G288" s="71"/>
      <c r="H288" s="29"/>
      <c r="I288" s="29"/>
      <c r="J288" s="29"/>
      <c r="K288" s="6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29"/>
      <c r="AH288" s="29"/>
      <c r="AI288" s="29"/>
    </row>
    <row r="289" spans="1:35" ht="14.45" customHeight="1" x14ac:dyDescent="0.25">
      <c r="A289" s="29"/>
      <c r="B289" s="69"/>
      <c r="C289" s="29"/>
      <c r="D289" s="29"/>
      <c r="E289" s="70"/>
      <c r="F289" s="70"/>
      <c r="G289" s="71"/>
      <c r="H289" s="29"/>
      <c r="I289" s="29"/>
      <c r="J289" s="29"/>
      <c r="K289" s="6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29"/>
      <c r="AH289" s="29"/>
      <c r="AI289" s="29"/>
    </row>
    <row r="290" spans="1:35" ht="14.45" customHeight="1" x14ac:dyDescent="0.25">
      <c r="A290" s="29"/>
      <c r="B290" s="69"/>
      <c r="C290" s="29"/>
      <c r="D290" s="29"/>
      <c r="E290" s="70"/>
      <c r="F290" s="70"/>
      <c r="G290" s="71"/>
      <c r="H290" s="29"/>
      <c r="I290" s="29"/>
      <c r="J290" s="29"/>
      <c r="K290" s="6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29"/>
      <c r="AB290" s="29"/>
      <c r="AC290" s="29"/>
      <c r="AD290" s="29"/>
      <c r="AE290" s="29"/>
      <c r="AF290" s="29"/>
      <c r="AG290" s="29"/>
      <c r="AH290" s="29"/>
      <c r="AI290" s="29"/>
    </row>
    <row r="291" spans="1:35" ht="14.45" customHeight="1" x14ac:dyDescent="0.25">
      <c r="A291" s="29"/>
      <c r="B291" s="69"/>
      <c r="C291" s="29"/>
      <c r="D291" s="29"/>
      <c r="E291" s="70"/>
      <c r="F291" s="70"/>
      <c r="G291" s="71"/>
      <c r="H291" s="29"/>
      <c r="I291" s="29"/>
      <c r="J291" s="29"/>
      <c r="K291" s="6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29"/>
      <c r="AH291" s="29"/>
      <c r="AI291" s="29"/>
    </row>
    <row r="292" spans="1:35" ht="14.45" customHeight="1" x14ac:dyDescent="0.25">
      <c r="A292" s="29"/>
      <c r="B292" s="69"/>
      <c r="C292" s="29"/>
      <c r="D292" s="29"/>
      <c r="E292" s="70"/>
      <c r="F292" s="70"/>
      <c r="G292" s="71"/>
      <c r="H292" s="29"/>
      <c r="I292" s="29"/>
      <c r="J292" s="29"/>
      <c r="K292" s="6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29"/>
      <c r="AH292" s="29"/>
      <c r="AI292" s="29"/>
    </row>
    <row r="293" spans="1:35" ht="14.45" customHeight="1" x14ac:dyDescent="0.25">
      <c r="A293" s="29"/>
      <c r="B293" s="69"/>
      <c r="C293" s="29"/>
      <c r="D293" s="29"/>
      <c r="E293" s="70"/>
      <c r="F293" s="70"/>
      <c r="G293" s="71"/>
      <c r="H293" s="29"/>
      <c r="I293" s="29"/>
      <c r="J293" s="29"/>
      <c r="K293" s="6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29"/>
      <c r="AB293" s="29"/>
      <c r="AC293" s="29"/>
      <c r="AD293" s="29"/>
      <c r="AE293" s="29"/>
      <c r="AF293" s="29"/>
      <c r="AG293" s="29"/>
      <c r="AH293" s="29"/>
      <c r="AI293" s="29"/>
    </row>
    <row r="294" spans="1:35" ht="14.45" customHeight="1" x14ac:dyDescent="0.25">
      <c r="A294" s="29"/>
      <c r="B294" s="69"/>
      <c r="C294" s="29"/>
      <c r="D294" s="29"/>
      <c r="E294" s="70"/>
      <c r="F294" s="70"/>
      <c r="G294" s="71"/>
      <c r="H294" s="29"/>
      <c r="I294" s="29"/>
      <c r="J294" s="29"/>
      <c r="K294" s="6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29"/>
      <c r="AH294" s="29"/>
      <c r="AI294" s="29"/>
    </row>
    <row r="295" spans="1:35" ht="14.45" customHeight="1" x14ac:dyDescent="0.25">
      <c r="A295" s="29"/>
      <c r="B295" s="69"/>
      <c r="C295" s="29"/>
      <c r="D295" s="29"/>
      <c r="E295" s="70"/>
      <c r="F295" s="70"/>
      <c r="G295" s="71"/>
      <c r="H295" s="29"/>
      <c r="I295" s="29"/>
      <c r="J295" s="29"/>
      <c r="K295" s="6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29"/>
      <c r="AH295" s="29"/>
      <c r="AI295" s="29"/>
    </row>
    <row r="296" spans="1:35" ht="14.45" customHeight="1" x14ac:dyDescent="0.25">
      <c r="A296" s="29"/>
      <c r="B296" s="69"/>
      <c r="C296" s="29"/>
      <c r="D296" s="29"/>
      <c r="E296" s="70"/>
      <c r="F296" s="70"/>
      <c r="G296" s="71"/>
      <c r="H296" s="29"/>
      <c r="I296" s="29"/>
      <c r="J296" s="29"/>
      <c r="K296" s="6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/>
      <c r="AD296" s="29"/>
      <c r="AE296" s="29"/>
      <c r="AF296" s="29"/>
      <c r="AG296" s="29"/>
      <c r="AH296" s="29"/>
      <c r="AI296" s="29"/>
    </row>
    <row r="297" spans="1:35" ht="14.45" customHeight="1" x14ac:dyDescent="0.25">
      <c r="A297" s="29"/>
      <c r="B297" s="69"/>
      <c r="C297" s="29"/>
      <c r="D297" s="29"/>
      <c r="E297" s="70"/>
      <c r="F297" s="70"/>
      <c r="G297" s="71"/>
      <c r="H297" s="29"/>
      <c r="I297" s="29"/>
      <c r="J297" s="29"/>
      <c r="K297" s="6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29"/>
      <c r="AH297" s="29"/>
      <c r="AI297" s="29"/>
    </row>
    <row r="298" spans="1:35" ht="14.45" customHeight="1" x14ac:dyDescent="0.25">
      <c r="A298" s="29"/>
      <c r="B298" s="69"/>
      <c r="C298" s="29"/>
      <c r="D298" s="29"/>
      <c r="E298" s="70"/>
      <c r="F298" s="70"/>
      <c r="G298" s="71"/>
      <c r="H298" s="29"/>
      <c r="I298" s="29"/>
      <c r="J298" s="29"/>
      <c r="K298" s="6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29"/>
      <c r="AH298" s="29"/>
      <c r="AI298" s="29"/>
    </row>
    <row r="299" spans="1:35" ht="14.45" customHeight="1" x14ac:dyDescent="0.25">
      <c r="A299" s="29"/>
      <c r="B299" s="69"/>
      <c r="C299" s="29"/>
      <c r="D299" s="29"/>
      <c r="E299" s="70"/>
      <c r="F299" s="70"/>
      <c r="G299" s="71"/>
      <c r="H299" s="29"/>
      <c r="I299" s="29"/>
      <c r="J299" s="29"/>
      <c r="K299" s="6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29"/>
      <c r="AB299" s="29"/>
      <c r="AC299" s="29"/>
      <c r="AD299" s="29"/>
      <c r="AE299" s="29"/>
      <c r="AF299" s="29"/>
      <c r="AG299" s="29"/>
      <c r="AH299" s="29"/>
      <c r="AI299" s="29"/>
    </row>
    <row r="300" spans="1:35" ht="14.45" customHeight="1" x14ac:dyDescent="0.25">
      <c r="A300" s="29"/>
      <c r="B300" s="69"/>
      <c r="C300" s="29"/>
      <c r="D300" s="29"/>
      <c r="E300" s="70"/>
      <c r="F300" s="70"/>
      <c r="G300" s="71"/>
      <c r="H300" s="29"/>
      <c r="I300" s="29"/>
      <c r="J300" s="29"/>
      <c r="K300" s="6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29"/>
      <c r="AH300" s="29"/>
      <c r="AI300" s="29"/>
    </row>
    <row r="301" spans="1:35" ht="14.45" customHeight="1" x14ac:dyDescent="0.25">
      <c r="A301" s="29"/>
      <c r="B301" s="69"/>
      <c r="C301" s="29"/>
      <c r="D301" s="29"/>
      <c r="E301" s="70"/>
      <c r="F301" s="70"/>
      <c r="G301" s="71"/>
      <c r="H301" s="29"/>
      <c r="I301" s="29"/>
      <c r="J301" s="29"/>
      <c r="K301" s="6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29"/>
      <c r="AH301" s="29"/>
      <c r="AI301" s="29"/>
    </row>
    <row r="302" spans="1:35" ht="14.45" customHeight="1" x14ac:dyDescent="0.25">
      <c r="A302" s="29"/>
      <c r="B302" s="69"/>
      <c r="C302" s="29"/>
      <c r="D302" s="29"/>
      <c r="E302" s="70"/>
      <c r="F302" s="70"/>
      <c r="G302" s="71"/>
      <c r="H302" s="29"/>
      <c r="I302" s="29"/>
      <c r="J302" s="29"/>
      <c r="K302" s="6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29"/>
      <c r="AB302" s="29"/>
      <c r="AC302" s="29"/>
      <c r="AD302" s="29"/>
      <c r="AE302" s="29"/>
      <c r="AF302" s="29"/>
      <c r="AG302" s="29"/>
      <c r="AH302" s="29"/>
      <c r="AI302" s="29"/>
    </row>
    <row r="303" spans="1:35" ht="14.45" customHeight="1" x14ac:dyDescent="0.25">
      <c r="A303" s="29"/>
      <c r="B303" s="69"/>
      <c r="C303" s="29"/>
      <c r="D303" s="29"/>
      <c r="E303" s="70"/>
      <c r="F303" s="70"/>
      <c r="G303" s="71"/>
      <c r="H303" s="29"/>
      <c r="I303" s="29"/>
      <c r="J303" s="29"/>
      <c r="K303" s="6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29"/>
      <c r="AH303" s="29"/>
      <c r="AI303" s="29"/>
    </row>
    <row r="304" spans="1:35" ht="14.45" customHeight="1" x14ac:dyDescent="0.25">
      <c r="A304" s="29"/>
      <c r="B304" s="69"/>
      <c r="C304" s="29"/>
      <c r="D304" s="29"/>
      <c r="E304" s="70"/>
      <c r="F304" s="70"/>
      <c r="G304" s="71"/>
      <c r="H304" s="29"/>
      <c r="I304" s="29"/>
      <c r="J304" s="29"/>
      <c r="K304" s="6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29"/>
      <c r="AH304" s="29"/>
      <c r="AI304" s="29"/>
    </row>
    <row r="305" spans="1:35" ht="14.45" customHeight="1" x14ac:dyDescent="0.25">
      <c r="A305" s="29"/>
      <c r="B305" s="69"/>
      <c r="C305" s="29"/>
      <c r="D305" s="29"/>
      <c r="E305" s="70"/>
      <c r="F305" s="70"/>
      <c r="G305" s="71"/>
      <c r="H305" s="29"/>
      <c r="I305" s="29"/>
      <c r="J305" s="29"/>
      <c r="K305" s="6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29"/>
      <c r="AB305" s="29"/>
      <c r="AC305" s="29"/>
      <c r="AD305" s="29"/>
      <c r="AE305" s="29"/>
      <c r="AF305" s="29"/>
      <c r="AG305" s="29"/>
      <c r="AH305" s="29"/>
      <c r="AI305" s="29"/>
    </row>
    <row r="306" spans="1:35" ht="14.45" customHeight="1" x14ac:dyDescent="0.25">
      <c r="A306" s="29"/>
      <c r="B306" s="69"/>
      <c r="C306" s="29"/>
      <c r="D306" s="29"/>
      <c r="E306" s="70"/>
      <c r="F306" s="70"/>
      <c r="G306" s="71"/>
      <c r="H306" s="29"/>
      <c r="I306" s="29"/>
      <c r="J306" s="29"/>
      <c r="K306" s="6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  <c r="AE306" s="29"/>
      <c r="AF306" s="29"/>
      <c r="AG306" s="29"/>
      <c r="AH306" s="29"/>
      <c r="AI306" s="29"/>
    </row>
    <row r="307" spans="1:35" ht="14.45" customHeight="1" x14ac:dyDescent="0.25">
      <c r="A307" s="29"/>
      <c r="B307" s="69"/>
      <c r="C307" s="29"/>
      <c r="D307" s="29"/>
      <c r="E307" s="70"/>
      <c r="F307" s="70"/>
      <c r="G307" s="71"/>
      <c r="H307" s="29"/>
      <c r="I307" s="29"/>
      <c r="J307" s="29"/>
      <c r="K307" s="6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29"/>
      <c r="AH307" s="29"/>
      <c r="AI307" s="29"/>
    </row>
    <row r="308" spans="1:35" ht="14.45" customHeight="1" x14ac:dyDescent="0.25">
      <c r="A308" s="29"/>
      <c r="B308" s="69"/>
      <c r="C308" s="29"/>
      <c r="D308" s="29"/>
      <c r="E308" s="70"/>
      <c r="F308" s="70"/>
      <c r="G308" s="71"/>
      <c r="H308" s="29"/>
      <c r="I308" s="29"/>
      <c r="J308" s="29"/>
      <c r="K308" s="6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29"/>
      <c r="AB308" s="29"/>
      <c r="AC308" s="29"/>
      <c r="AD308" s="29"/>
      <c r="AE308" s="29"/>
      <c r="AF308" s="29"/>
      <c r="AG308" s="29"/>
      <c r="AH308" s="29"/>
      <c r="AI308" s="29"/>
    </row>
    <row r="309" spans="1:35" ht="14.45" customHeight="1" x14ac:dyDescent="0.25">
      <c r="A309" s="29"/>
      <c r="B309" s="69"/>
      <c r="C309" s="29"/>
      <c r="D309" s="29"/>
      <c r="E309" s="70"/>
      <c r="F309" s="70"/>
      <c r="G309" s="71"/>
      <c r="H309" s="29"/>
      <c r="I309" s="29"/>
      <c r="J309" s="29"/>
      <c r="K309" s="6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29"/>
      <c r="AH309" s="29"/>
      <c r="AI309" s="29"/>
    </row>
    <row r="310" spans="1:35" ht="14.45" customHeight="1" x14ac:dyDescent="0.25">
      <c r="A310" s="29"/>
      <c r="B310" s="69"/>
      <c r="C310" s="29"/>
      <c r="D310" s="29"/>
      <c r="E310" s="70"/>
      <c r="F310" s="70"/>
      <c r="G310" s="71"/>
      <c r="H310" s="29"/>
      <c r="I310" s="29"/>
      <c r="J310" s="29"/>
      <c r="K310" s="6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29"/>
      <c r="AH310" s="29"/>
      <c r="AI310" s="29"/>
    </row>
    <row r="311" spans="1:35" ht="14.45" customHeight="1" x14ac:dyDescent="0.25">
      <c r="A311" s="29"/>
      <c r="B311" s="69"/>
      <c r="C311" s="29"/>
      <c r="D311" s="29"/>
      <c r="E311" s="70"/>
      <c r="F311" s="70"/>
      <c r="G311" s="71"/>
      <c r="H311" s="29"/>
      <c r="I311" s="29"/>
      <c r="J311" s="29"/>
      <c r="K311" s="6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  <c r="AD311" s="29"/>
      <c r="AE311" s="29"/>
      <c r="AF311" s="29"/>
      <c r="AG311" s="29"/>
      <c r="AH311" s="29"/>
      <c r="AI311" s="29"/>
    </row>
    <row r="312" spans="1:35" ht="14.45" customHeight="1" x14ac:dyDescent="0.25">
      <c r="A312" s="29"/>
      <c r="B312" s="69"/>
      <c r="C312" s="29"/>
      <c r="D312" s="29"/>
      <c r="E312" s="70"/>
      <c r="F312" s="70"/>
      <c r="G312" s="71"/>
      <c r="H312" s="29"/>
      <c r="I312" s="29"/>
      <c r="J312" s="29"/>
      <c r="K312" s="6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29"/>
      <c r="AH312" s="29"/>
      <c r="AI312" s="29"/>
    </row>
    <row r="313" spans="1:35" ht="14.45" customHeight="1" x14ac:dyDescent="0.25">
      <c r="A313" s="29"/>
      <c r="B313" s="69"/>
      <c r="C313" s="29"/>
      <c r="D313" s="29"/>
      <c r="E313" s="70"/>
      <c r="F313" s="70"/>
      <c r="G313" s="71"/>
      <c r="H313" s="29"/>
      <c r="I313" s="29"/>
      <c r="J313" s="29"/>
      <c r="K313" s="6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29"/>
      <c r="AH313" s="29"/>
      <c r="AI313" s="29"/>
    </row>
    <row r="314" spans="1:35" ht="14.45" customHeight="1" x14ac:dyDescent="0.25">
      <c r="A314" s="29"/>
      <c r="B314" s="69"/>
      <c r="C314" s="29"/>
      <c r="D314" s="29"/>
      <c r="E314" s="70"/>
      <c r="F314" s="70"/>
      <c r="G314" s="71"/>
      <c r="H314" s="29"/>
      <c r="I314" s="29"/>
      <c r="J314" s="29"/>
      <c r="K314" s="6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29"/>
      <c r="AB314" s="29"/>
      <c r="AC314" s="29"/>
      <c r="AD314" s="29"/>
      <c r="AE314" s="29"/>
      <c r="AF314" s="29"/>
      <c r="AG314" s="29"/>
      <c r="AH314" s="29"/>
      <c r="AI314" s="29"/>
    </row>
    <row r="315" spans="1:35" ht="14.45" customHeight="1" x14ac:dyDescent="0.25">
      <c r="A315" s="29"/>
      <c r="B315" s="69"/>
      <c r="C315" s="29"/>
      <c r="D315" s="29"/>
      <c r="E315" s="70"/>
      <c r="F315" s="70"/>
      <c r="G315" s="71"/>
      <c r="H315" s="29"/>
      <c r="I315" s="29"/>
      <c r="J315" s="29"/>
      <c r="K315" s="6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29"/>
      <c r="AH315" s="29"/>
      <c r="AI315" s="29"/>
    </row>
    <row r="316" spans="1:35" ht="14.45" customHeight="1" x14ac:dyDescent="0.25">
      <c r="A316" s="29"/>
      <c r="B316" s="69"/>
      <c r="C316" s="29"/>
      <c r="D316" s="29"/>
      <c r="E316" s="70"/>
      <c r="F316" s="70"/>
      <c r="G316" s="71"/>
      <c r="H316" s="29"/>
      <c r="I316" s="29"/>
      <c r="J316" s="29"/>
      <c r="K316" s="6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  <c r="AD316" s="29"/>
      <c r="AE316" s="29"/>
      <c r="AF316" s="29"/>
      <c r="AG316" s="29"/>
      <c r="AH316" s="29"/>
      <c r="AI316" s="29"/>
    </row>
    <row r="317" spans="1:35" ht="14.45" customHeight="1" x14ac:dyDescent="0.25">
      <c r="A317" s="29"/>
      <c r="B317" s="69"/>
      <c r="C317" s="29"/>
      <c r="D317" s="29"/>
      <c r="E317" s="70"/>
      <c r="F317" s="70"/>
      <c r="G317" s="71"/>
      <c r="H317" s="29"/>
      <c r="I317" s="29"/>
      <c r="J317" s="29"/>
      <c r="K317" s="6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29"/>
      <c r="AB317" s="29"/>
      <c r="AC317" s="29"/>
      <c r="AD317" s="29"/>
      <c r="AE317" s="29"/>
      <c r="AF317" s="29"/>
      <c r="AG317" s="29"/>
      <c r="AH317" s="29"/>
      <c r="AI317" s="29"/>
    </row>
    <row r="318" spans="1:35" ht="14.45" customHeight="1" x14ac:dyDescent="0.25">
      <c r="A318" s="29"/>
      <c r="B318" s="69"/>
      <c r="C318" s="29"/>
      <c r="D318" s="29"/>
      <c r="E318" s="70"/>
      <c r="F318" s="70"/>
      <c r="G318" s="71"/>
      <c r="H318" s="29"/>
      <c r="I318" s="29"/>
      <c r="J318" s="29"/>
      <c r="K318" s="6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29"/>
      <c r="AH318" s="29"/>
      <c r="AI318" s="29"/>
    </row>
    <row r="319" spans="1:35" ht="14.45" customHeight="1" x14ac:dyDescent="0.25">
      <c r="A319" s="29"/>
      <c r="B319" s="69"/>
      <c r="C319" s="29"/>
      <c r="D319" s="29"/>
      <c r="E319" s="70"/>
      <c r="F319" s="70"/>
      <c r="G319" s="71"/>
      <c r="H319" s="29"/>
      <c r="I319" s="29"/>
      <c r="J319" s="29"/>
      <c r="K319" s="6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29"/>
      <c r="AH319" s="29"/>
      <c r="AI319" s="29"/>
    </row>
    <row r="320" spans="1:35" ht="14.45" customHeight="1" x14ac:dyDescent="0.25">
      <c r="A320" s="29"/>
      <c r="B320" s="69"/>
      <c r="C320" s="29"/>
      <c r="D320" s="29"/>
      <c r="E320" s="70"/>
      <c r="F320" s="70"/>
      <c r="G320" s="71"/>
      <c r="H320" s="29"/>
      <c r="I320" s="29"/>
      <c r="J320" s="29"/>
      <c r="K320" s="6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29"/>
      <c r="AB320" s="29"/>
      <c r="AC320" s="29"/>
      <c r="AD320" s="29"/>
      <c r="AE320" s="29"/>
      <c r="AF320" s="29"/>
      <c r="AG320" s="29"/>
      <c r="AH320" s="29"/>
      <c r="AI320" s="29"/>
    </row>
    <row r="321" spans="1:35" ht="14.45" customHeight="1" x14ac:dyDescent="0.25">
      <c r="A321" s="29"/>
      <c r="B321" s="69"/>
      <c r="C321" s="29"/>
      <c r="D321" s="29"/>
      <c r="E321" s="70"/>
      <c r="F321" s="70"/>
      <c r="G321" s="71"/>
      <c r="H321" s="29"/>
      <c r="I321" s="29"/>
      <c r="J321" s="29"/>
      <c r="K321" s="6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29"/>
      <c r="AH321" s="29"/>
      <c r="AI321" s="29"/>
    </row>
    <row r="322" spans="1:35" ht="14.45" customHeight="1" x14ac:dyDescent="0.25">
      <c r="A322" s="29"/>
      <c r="B322" s="69"/>
      <c r="C322" s="29"/>
      <c r="D322" s="29"/>
      <c r="E322" s="70"/>
      <c r="F322" s="70"/>
      <c r="G322" s="71"/>
      <c r="H322" s="29"/>
      <c r="I322" s="29"/>
      <c r="J322" s="29"/>
      <c r="K322" s="6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29"/>
      <c r="AH322" s="29"/>
      <c r="AI322" s="29"/>
    </row>
    <row r="323" spans="1:35" ht="14.45" customHeight="1" x14ac:dyDescent="0.25">
      <c r="A323" s="29"/>
      <c r="B323" s="69"/>
      <c r="C323" s="29"/>
      <c r="D323" s="29"/>
      <c r="E323" s="70"/>
      <c r="F323" s="70"/>
      <c r="G323" s="71"/>
      <c r="H323" s="29"/>
      <c r="I323" s="29"/>
      <c r="J323" s="29"/>
      <c r="K323" s="6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29"/>
      <c r="AB323" s="29"/>
      <c r="AC323" s="29"/>
      <c r="AD323" s="29"/>
      <c r="AE323" s="29"/>
      <c r="AF323" s="29"/>
      <c r="AG323" s="29"/>
      <c r="AH323" s="29"/>
      <c r="AI323" s="29"/>
    </row>
    <row r="324" spans="1:35" ht="14.45" customHeight="1" x14ac:dyDescent="0.25">
      <c r="A324" s="29"/>
      <c r="B324" s="69"/>
      <c r="C324" s="29"/>
      <c r="D324" s="29"/>
      <c r="E324" s="70"/>
      <c r="F324" s="70"/>
      <c r="G324" s="71"/>
      <c r="H324" s="29"/>
      <c r="I324" s="29"/>
      <c r="J324" s="29"/>
      <c r="K324" s="6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29"/>
      <c r="AH324" s="29"/>
      <c r="AI324" s="29"/>
    </row>
    <row r="325" spans="1:35" ht="14.45" customHeight="1" x14ac:dyDescent="0.25">
      <c r="A325" s="29"/>
      <c r="B325" s="69"/>
      <c r="C325" s="29"/>
      <c r="D325" s="29"/>
      <c r="E325" s="70"/>
      <c r="F325" s="70"/>
      <c r="G325" s="71"/>
      <c r="H325" s="29"/>
      <c r="I325" s="29"/>
      <c r="J325" s="29"/>
      <c r="K325" s="6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29"/>
      <c r="AH325" s="29"/>
      <c r="AI325" s="29"/>
    </row>
    <row r="326" spans="1:35" ht="14.45" customHeight="1" x14ac:dyDescent="0.25">
      <c r="A326" s="29"/>
      <c r="B326" s="69"/>
      <c r="C326" s="29"/>
      <c r="D326" s="29"/>
      <c r="E326" s="70"/>
      <c r="F326" s="70"/>
      <c r="G326" s="71"/>
      <c r="H326" s="29"/>
      <c r="I326" s="29"/>
      <c r="J326" s="29"/>
      <c r="K326" s="6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29"/>
      <c r="AB326" s="29"/>
      <c r="AC326" s="29"/>
      <c r="AD326" s="29"/>
      <c r="AE326" s="29"/>
      <c r="AF326" s="29"/>
      <c r="AG326" s="29"/>
      <c r="AH326" s="29"/>
      <c r="AI326" s="29"/>
    </row>
    <row r="327" spans="1:35" ht="14.45" customHeight="1" x14ac:dyDescent="0.25">
      <c r="A327" s="29"/>
      <c r="B327" s="69"/>
      <c r="C327" s="29"/>
      <c r="D327" s="29"/>
      <c r="E327" s="70"/>
      <c r="F327" s="70"/>
      <c r="G327" s="71"/>
      <c r="H327" s="29"/>
      <c r="I327" s="29"/>
      <c r="J327" s="29"/>
      <c r="K327" s="6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29"/>
      <c r="AH327" s="29"/>
      <c r="AI327" s="29"/>
    </row>
    <row r="328" spans="1:35" ht="14.45" customHeight="1" x14ac:dyDescent="0.25">
      <c r="A328" s="29"/>
      <c r="B328" s="69"/>
      <c r="C328" s="29"/>
      <c r="D328" s="29"/>
      <c r="E328" s="70"/>
      <c r="F328" s="70"/>
      <c r="G328" s="71"/>
      <c r="H328" s="29"/>
      <c r="I328" s="29"/>
      <c r="J328" s="29"/>
      <c r="K328" s="6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29"/>
      <c r="AH328" s="29"/>
      <c r="AI328" s="29"/>
    </row>
    <row r="329" spans="1:35" ht="14.45" customHeight="1" x14ac:dyDescent="0.25">
      <c r="A329" s="29"/>
      <c r="B329" s="69"/>
      <c r="C329" s="29"/>
      <c r="D329" s="29"/>
      <c r="E329" s="70"/>
      <c r="F329" s="70"/>
      <c r="G329" s="71"/>
      <c r="H329" s="29"/>
      <c r="I329" s="29"/>
      <c r="J329" s="29"/>
      <c r="K329" s="6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29"/>
      <c r="AB329" s="29"/>
      <c r="AC329" s="29"/>
      <c r="AD329" s="29"/>
      <c r="AE329" s="29"/>
      <c r="AF329" s="29"/>
      <c r="AG329" s="29"/>
      <c r="AH329" s="29"/>
      <c r="AI329" s="29"/>
    </row>
    <row r="330" spans="1:35" ht="14.45" customHeight="1" x14ac:dyDescent="0.25">
      <c r="A330" s="29"/>
      <c r="B330" s="69"/>
      <c r="C330" s="29"/>
      <c r="D330" s="29"/>
      <c r="E330" s="70"/>
      <c r="F330" s="70"/>
      <c r="G330" s="71"/>
      <c r="H330" s="29"/>
      <c r="I330" s="29"/>
      <c r="J330" s="29"/>
      <c r="K330" s="6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29"/>
      <c r="AH330" s="29"/>
      <c r="AI330" s="29"/>
    </row>
    <row r="331" spans="1:35" ht="14.45" customHeight="1" x14ac:dyDescent="0.25">
      <c r="A331" s="29"/>
      <c r="B331" s="69"/>
      <c r="C331" s="29"/>
      <c r="D331" s="29"/>
      <c r="E331" s="70"/>
      <c r="F331" s="70"/>
      <c r="G331" s="71"/>
      <c r="H331" s="29"/>
      <c r="I331" s="29"/>
      <c r="J331" s="29"/>
      <c r="K331" s="6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29"/>
      <c r="AH331" s="29"/>
      <c r="AI331" s="29"/>
    </row>
    <row r="332" spans="1:35" ht="14.45" customHeight="1" x14ac:dyDescent="0.25">
      <c r="A332" s="29"/>
      <c r="B332" s="69"/>
      <c r="C332" s="29"/>
      <c r="D332" s="29"/>
      <c r="E332" s="70"/>
      <c r="F332" s="70"/>
      <c r="G332" s="71"/>
      <c r="H332" s="29"/>
      <c r="I332" s="29"/>
      <c r="J332" s="29"/>
      <c r="K332" s="6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29"/>
      <c r="AB332" s="29"/>
      <c r="AC332" s="29"/>
      <c r="AD332" s="29"/>
      <c r="AE332" s="29"/>
      <c r="AF332" s="29"/>
      <c r="AG332" s="29"/>
      <c r="AH332" s="29"/>
      <c r="AI332" s="29"/>
    </row>
    <row r="333" spans="1:35" ht="14.45" customHeight="1" x14ac:dyDescent="0.25">
      <c r="A333" s="29"/>
      <c r="B333" s="69"/>
      <c r="C333" s="29"/>
      <c r="D333" s="29"/>
      <c r="E333" s="70"/>
      <c r="F333" s="70"/>
      <c r="G333" s="71"/>
      <c r="H333" s="29"/>
      <c r="I333" s="29"/>
      <c r="J333" s="29"/>
      <c r="K333" s="6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29"/>
      <c r="AH333" s="29"/>
      <c r="AI333" s="29"/>
    </row>
    <row r="334" spans="1:35" ht="14.45" customHeight="1" x14ac:dyDescent="0.25">
      <c r="A334" s="29"/>
      <c r="B334" s="69"/>
      <c r="C334" s="29"/>
      <c r="D334" s="29"/>
      <c r="E334" s="70"/>
      <c r="F334" s="70"/>
      <c r="G334" s="71"/>
      <c r="H334" s="29"/>
      <c r="I334" s="29"/>
      <c r="J334" s="29"/>
      <c r="K334" s="6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  <c r="AD334" s="29"/>
      <c r="AE334" s="29"/>
      <c r="AF334" s="29"/>
      <c r="AG334" s="29"/>
      <c r="AH334" s="29"/>
      <c r="AI334" s="29"/>
    </row>
    <row r="335" spans="1:35" ht="14.45" customHeight="1" x14ac:dyDescent="0.25">
      <c r="A335" s="29"/>
      <c r="B335" s="69"/>
      <c r="C335" s="29"/>
      <c r="D335" s="29"/>
      <c r="E335" s="70"/>
      <c r="F335" s="70"/>
      <c r="G335" s="71"/>
      <c r="H335" s="29"/>
      <c r="I335" s="29"/>
      <c r="J335" s="29"/>
      <c r="K335" s="6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29"/>
      <c r="AB335" s="29"/>
      <c r="AC335" s="29"/>
      <c r="AD335" s="29"/>
      <c r="AE335" s="29"/>
      <c r="AF335" s="29"/>
      <c r="AG335" s="29"/>
      <c r="AH335" s="29"/>
      <c r="AI335" s="29"/>
    </row>
    <row r="336" spans="1:35" ht="14.45" customHeight="1" x14ac:dyDescent="0.25">
      <c r="A336" s="29"/>
      <c r="B336" s="69"/>
      <c r="C336" s="29"/>
      <c r="D336" s="29"/>
      <c r="E336" s="70"/>
      <c r="F336" s="70"/>
      <c r="G336" s="71"/>
      <c r="H336" s="29"/>
      <c r="I336" s="29"/>
      <c r="J336" s="29"/>
      <c r="K336" s="6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  <c r="AD336" s="29"/>
      <c r="AE336" s="29"/>
      <c r="AF336" s="29"/>
      <c r="AG336" s="29"/>
      <c r="AH336" s="29"/>
      <c r="AI336" s="29"/>
    </row>
    <row r="337" spans="1:35" ht="14.45" customHeight="1" x14ac:dyDescent="0.25">
      <c r="A337" s="29"/>
      <c r="B337" s="69"/>
      <c r="C337" s="29"/>
      <c r="D337" s="29"/>
      <c r="E337" s="70"/>
      <c r="F337" s="70"/>
      <c r="G337" s="71"/>
      <c r="H337" s="29"/>
      <c r="I337" s="29"/>
      <c r="J337" s="29"/>
      <c r="K337" s="6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  <c r="AH337" s="29"/>
      <c r="AI337" s="29"/>
    </row>
    <row r="338" spans="1:35" ht="14.45" customHeight="1" x14ac:dyDescent="0.25">
      <c r="A338" s="29"/>
      <c r="B338" s="69"/>
      <c r="C338" s="29"/>
      <c r="D338" s="29"/>
      <c r="E338" s="70"/>
      <c r="F338" s="70"/>
      <c r="G338" s="71"/>
      <c r="H338" s="29"/>
      <c r="I338" s="29"/>
      <c r="J338" s="29"/>
      <c r="K338" s="6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29"/>
      <c r="AB338" s="29"/>
      <c r="AC338" s="29"/>
      <c r="AD338" s="29"/>
      <c r="AE338" s="29"/>
      <c r="AF338" s="29"/>
      <c r="AG338" s="29"/>
      <c r="AH338" s="29"/>
      <c r="AI338" s="29"/>
    </row>
    <row r="339" spans="1:35" ht="14.45" customHeight="1" x14ac:dyDescent="0.25">
      <c r="A339" s="29"/>
      <c r="B339" s="69"/>
      <c r="C339" s="29"/>
      <c r="D339" s="29"/>
      <c r="E339" s="70"/>
      <c r="F339" s="70"/>
      <c r="G339" s="71"/>
      <c r="H339" s="29"/>
      <c r="I339" s="29"/>
      <c r="J339" s="29"/>
      <c r="K339" s="6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29"/>
      <c r="AH339" s="29"/>
      <c r="AI339" s="29"/>
    </row>
    <row r="340" spans="1:35" ht="14.45" customHeight="1" x14ac:dyDescent="0.25">
      <c r="A340" s="29"/>
      <c r="B340" s="69"/>
      <c r="C340" s="29"/>
      <c r="D340" s="29"/>
      <c r="E340" s="70"/>
      <c r="F340" s="70"/>
      <c r="G340" s="71"/>
      <c r="H340" s="29"/>
      <c r="I340" s="29"/>
      <c r="J340" s="29"/>
      <c r="K340" s="6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29"/>
      <c r="AH340" s="29"/>
      <c r="AI340" s="29"/>
    </row>
    <row r="341" spans="1:35" ht="14.45" customHeight="1" x14ac:dyDescent="0.25">
      <c r="A341" s="29"/>
      <c r="B341" s="69"/>
      <c r="C341" s="29"/>
      <c r="D341" s="29"/>
      <c r="E341" s="70"/>
      <c r="F341" s="70"/>
      <c r="G341" s="71"/>
      <c r="H341" s="29"/>
      <c r="I341" s="29"/>
      <c r="J341" s="29"/>
      <c r="K341" s="6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29"/>
      <c r="AB341" s="29"/>
      <c r="AC341" s="29"/>
      <c r="AD341" s="29"/>
      <c r="AE341" s="29"/>
      <c r="AF341" s="29"/>
      <c r="AG341" s="29"/>
      <c r="AH341" s="29"/>
      <c r="AI341" s="29"/>
    </row>
    <row r="342" spans="1:35" ht="14.45" customHeight="1" x14ac:dyDescent="0.25">
      <c r="A342" s="29"/>
      <c r="B342" s="69"/>
      <c r="C342" s="29"/>
      <c r="D342" s="29"/>
      <c r="E342" s="70"/>
      <c r="F342" s="70"/>
      <c r="G342" s="71"/>
      <c r="H342" s="29"/>
      <c r="I342" s="29"/>
      <c r="J342" s="29"/>
      <c r="K342" s="6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29"/>
      <c r="AH342" s="29"/>
      <c r="AI342" s="29"/>
    </row>
    <row r="343" spans="1:35" ht="14.45" customHeight="1" x14ac:dyDescent="0.25">
      <c r="A343" s="29"/>
      <c r="B343" s="69"/>
      <c r="C343" s="29"/>
      <c r="D343" s="29"/>
      <c r="E343" s="70"/>
      <c r="F343" s="70"/>
      <c r="G343" s="71"/>
      <c r="H343" s="29"/>
      <c r="I343" s="29"/>
      <c r="J343" s="29"/>
      <c r="K343" s="6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29"/>
      <c r="AH343" s="29"/>
      <c r="AI343" s="29"/>
    </row>
    <row r="344" spans="1:35" ht="14.45" customHeight="1" x14ac:dyDescent="0.25">
      <c r="A344" s="29"/>
      <c r="B344" s="69"/>
      <c r="C344" s="29"/>
      <c r="D344" s="29"/>
      <c r="E344" s="70"/>
      <c r="F344" s="70"/>
      <c r="G344" s="71"/>
      <c r="H344" s="29"/>
      <c r="I344" s="29"/>
      <c r="J344" s="29"/>
      <c r="K344" s="6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29"/>
      <c r="AB344" s="29"/>
      <c r="AC344" s="29"/>
      <c r="AD344" s="29"/>
      <c r="AE344" s="29"/>
      <c r="AF344" s="29"/>
      <c r="AG344" s="29"/>
      <c r="AH344" s="29"/>
      <c r="AI344" s="29"/>
    </row>
    <row r="345" spans="1:35" ht="14.45" customHeight="1" x14ac:dyDescent="0.25">
      <c r="A345" s="29"/>
      <c r="B345" s="69"/>
      <c r="C345" s="29"/>
      <c r="D345" s="29"/>
      <c r="E345" s="70"/>
      <c r="F345" s="70"/>
      <c r="G345" s="71"/>
      <c r="H345" s="29"/>
      <c r="I345" s="29"/>
      <c r="J345" s="29"/>
      <c r="K345" s="6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29"/>
      <c r="AH345" s="29"/>
      <c r="AI345" s="29"/>
    </row>
    <row r="346" spans="1:35" ht="14.45" customHeight="1" x14ac:dyDescent="0.25">
      <c r="A346" s="29"/>
      <c r="B346" s="69"/>
      <c r="C346" s="29"/>
      <c r="D346" s="29"/>
      <c r="E346" s="70"/>
      <c r="F346" s="70"/>
      <c r="G346" s="71"/>
      <c r="H346" s="29"/>
      <c r="I346" s="29"/>
      <c r="J346" s="29"/>
      <c r="K346" s="6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  <c r="AD346" s="29"/>
      <c r="AE346" s="29"/>
      <c r="AF346" s="29"/>
      <c r="AG346" s="29"/>
      <c r="AH346" s="29"/>
      <c r="AI346" s="29"/>
    </row>
    <row r="347" spans="1:35" ht="14.45" customHeight="1" x14ac:dyDescent="0.25">
      <c r="A347" s="29"/>
      <c r="B347" s="69"/>
      <c r="C347" s="29"/>
      <c r="D347" s="29"/>
      <c r="E347" s="70"/>
      <c r="F347" s="70"/>
      <c r="G347" s="71"/>
      <c r="H347" s="29"/>
      <c r="I347" s="29"/>
      <c r="J347" s="29"/>
      <c r="K347" s="6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29"/>
      <c r="AB347" s="29"/>
      <c r="AC347" s="29"/>
      <c r="AD347" s="29"/>
      <c r="AE347" s="29"/>
      <c r="AF347" s="29"/>
      <c r="AG347" s="29"/>
      <c r="AH347" s="29"/>
      <c r="AI347" s="29"/>
    </row>
    <row r="348" spans="1:35" ht="14.45" customHeight="1" x14ac:dyDescent="0.25">
      <c r="A348" s="29"/>
      <c r="B348" s="69"/>
      <c r="C348" s="29"/>
      <c r="D348" s="29"/>
      <c r="E348" s="70"/>
      <c r="F348" s="70"/>
      <c r="G348" s="71"/>
      <c r="H348" s="29"/>
      <c r="I348" s="29"/>
      <c r="J348" s="29"/>
      <c r="K348" s="6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29"/>
      <c r="AH348" s="29"/>
      <c r="AI348" s="29"/>
    </row>
    <row r="349" spans="1:35" ht="14.45" customHeight="1" x14ac:dyDescent="0.25">
      <c r="A349" s="29"/>
      <c r="B349" s="69"/>
      <c r="C349" s="29"/>
      <c r="D349" s="29"/>
      <c r="E349" s="70"/>
      <c r="F349" s="70"/>
      <c r="G349" s="71"/>
      <c r="H349" s="29"/>
      <c r="I349" s="29"/>
      <c r="J349" s="29"/>
      <c r="K349" s="6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29"/>
      <c r="AH349" s="29"/>
      <c r="AI349" s="29"/>
    </row>
    <row r="350" spans="1:35" ht="14.45" customHeight="1" x14ac:dyDescent="0.25">
      <c r="A350" s="29"/>
      <c r="B350" s="69"/>
      <c r="C350" s="29"/>
      <c r="D350" s="29"/>
      <c r="E350" s="70"/>
      <c r="F350" s="70"/>
      <c r="G350" s="71"/>
      <c r="H350" s="29"/>
      <c r="I350" s="29"/>
      <c r="J350" s="29"/>
      <c r="K350" s="6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29"/>
      <c r="AB350" s="29"/>
      <c r="AC350" s="29"/>
      <c r="AD350" s="29"/>
      <c r="AE350" s="29"/>
      <c r="AF350" s="29"/>
      <c r="AG350" s="29"/>
      <c r="AH350" s="29"/>
      <c r="AI350" s="29"/>
    </row>
    <row r="351" spans="1:35" ht="14.45" customHeight="1" x14ac:dyDescent="0.25">
      <c r="A351" s="29"/>
      <c r="B351" s="69"/>
      <c r="C351" s="29"/>
      <c r="D351" s="29"/>
      <c r="E351" s="70"/>
      <c r="F351" s="70"/>
      <c r="G351" s="71"/>
      <c r="H351" s="29"/>
      <c r="I351" s="29"/>
      <c r="J351" s="29"/>
      <c r="K351" s="6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29"/>
      <c r="AH351" s="29"/>
      <c r="AI351" s="29"/>
    </row>
    <row r="352" spans="1:35" ht="14.45" customHeight="1" x14ac:dyDescent="0.25">
      <c r="A352" s="29"/>
      <c r="B352" s="69"/>
      <c r="C352" s="29"/>
      <c r="D352" s="29"/>
      <c r="E352" s="70"/>
      <c r="F352" s="70"/>
      <c r="G352" s="71"/>
      <c r="H352" s="29"/>
      <c r="I352" s="29"/>
      <c r="J352" s="29"/>
      <c r="K352" s="6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29"/>
      <c r="AH352" s="29"/>
      <c r="AI352" s="29"/>
    </row>
    <row r="353" spans="1:35" ht="14.45" customHeight="1" x14ac:dyDescent="0.25">
      <c r="A353" s="29"/>
      <c r="B353" s="69"/>
      <c r="C353" s="29"/>
      <c r="D353" s="29"/>
      <c r="E353" s="70"/>
      <c r="F353" s="70"/>
      <c r="G353" s="71"/>
      <c r="H353" s="29"/>
      <c r="I353" s="29"/>
      <c r="J353" s="29"/>
      <c r="K353" s="6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29"/>
      <c r="AB353" s="29"/>
      <c r="AC353" s="29"/>
      <c r="AD353" s="29"/>
      <c r="AE353" s="29"/>
      <c r="AF353" s="29"/>
      <c r="AG353" s="29"/>
      <c r="AH353" s="29"/>
      <c r="AI353" s="29"/>
    </row>
    <row r="354" spans="1:35" ht="14.45" customHeight="1" x14ac:dyDescent="0.25">
      <c r="A354" s="29"/>
      <c r="B354" s="69"/>
      <c r="C354" s="29"/>
      <c r="D354" s="29"/>
      <c r="E354" s="70"/>
      <c r="F354" s="70"/>
      <c r="G354" s="71"/>
      <c r="H354" s="29"/>
      <c r="I354" s="29"/>
      <c r="J354" s="29"/>
      <c r="K354" s="6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29"/>
      <c r="AH354" s="29"/>
      <c r="AI354" s="29"/>
    </row>
    <row r="355" spans="1:35" ht="14.45" customHeight="1" x14ac:dyDescent="0.25">
      <c r="A355" s="29"/>
      <c r="B355" s="69"/>
      <c r="C355" s="29"/>
      <c r="D355" s="29"/>
      <c r="E355" s="70"/>
      <c r="F355" s="70"/>
      <c r="G355" s="71"/>
      <c r="H355" s="29"/>
      <c r="I355" s="29"/>
      <c r="J355" s="29"/>
      <c r="K355" s="6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29"/>
      <c r="AH355" s="29"/>
      <c r="AI355" s="29"/>
    </row>
    <row r="356" spans="1:35" ht="14.45" customHeight="1" x14ac:dyDescent="0.25">
      <c r="A356" s="29"/>
      <c r="B356" s="69"/>
      <c r="C356" s="29"/>
      <c r="D356" s="29"/>
      <c r="E356" s="70"/>
      <c r="F356" s="70"/>
      <c r="G356" s="71"/>
      <c r="H356" s="29"/>
      <c r="I356" s="29"/>
      <c r="J356" s="29"/>
      <c r="K356" s="6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29"/>
      <c r="AB356" s="29"/>
      <c r="AC356" s="29"/>
      <c r="AD356" s="29"/>
      <c r="AE356" s="29"/>
      <c r="AF356" s="29"/>
      <c r="AG356" s="29"/>
      <c r="AH356" s="29"/>
      <c r="AI356" s="29"/>
    </row>
    <row r="357" spans="1:35" ht="14.45" customHeight="1" x14ac:dyDescent="0.25">
      <c r="A357" s="29"/>
      <c r="B357" s="69"/>
      <c r="C357" s="29"/>
      <c r="D357" s="29"/>
      <c r="E357" s="70"/>
      <c r="F357" s="70"/>
      <c r="G357" s="71"/>
      <c r="H357" s="29"/>
      <c r="I357" s="29"/>
      <c r="J357" s="29"/>
      <c r="K357" s="6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29"/>
      <c r="AH357" s="29"/>
      <c r="AI357" s="29"/>
    </row>
    <row r="358" spans="1:35" ht="14.45" customHeight="1" x14ac:dyDescent="0.25">
      <c r="A358" s="29"/>
      <c r="B358" s="69"/>
      <c r="C358" s="29"/>
      <c r="D358" s="29"/>
      <c r="E358" s="70"/>
      <c r="F358" s="70"/>
      <c r="G358" s="71"/>
      <c r="H358" s="29"/>
      <c r="I358" s="29"/>
      <c r="J358" s="29"/>
      <c r="K358" s="6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29"/>
      <c r="AH358" s="29"/>
      <c r="AI358" s="29"/>
    </row>
    <row r="359" spans="1:35" ht="14.45" customHeight="1" x14ac:dyDescent="0.25">
      <c r="A359" s="29"/>
      <c r="B359" s="69"/>
      <c r="C359" s="29"/>
      <c r="D359" s="29"/>
      <c r="E359" s="70"/>
      <c r="F359" s="70"/>
      <c r="G359" s="71"/>
      <c r="H359" s="29"/>
      <c r="I359" s="29"/>
      <c r="J359" s="29"/>
      <c r="K359" s="6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29"/>
      <c r="AB359" s="29"/>
      <c r="AC359" s="29"/>
      <c r="AD359" s="29"/>
      <c r="AE359" s="29"/>
      <c r="AF359" s="29"/>
      <c r="AG359" s="29"/>
      <c r="AH359" s="29"/>
      <c r="AI359" s="29"/>
    </row>
    <row r="360" spans="1:35" ht="14.45" customHeight="1" x14ac:dyDescent="0.25">
      <c r="A360" s="29"/>
      <c r="B360" s="69"/>
      <c r="C360" s="29"/>
      <c r="D360" s="29"/>
      <c r="E360" s="70"/>
      <c r="F360" s="70"/>
      <c r="G360" s="71"/>
      <c r="H360" s="29"/>
      <c r="I360" s="29"/>
      <c r="J360" s="29"/>
      <c r="K360" s="6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29"/>
      <c r="AH360" s="29"/>
      <c r="AI360" s="29"/>
    </row>
    <row r="361" spans="1:35" ht="14.45" customHeight="1" x14ac:dyDescent="0.25">
      <c r="A361" s="29"/>
      <c r="B361" s="69"/>
      <c r="C361" s="29"/>
      <c r="D361" s="29"/>
      <c r="E361" s="70"/>
      <c r="F361" s="70"/>
      <c r="G361" s="71"/>
      <c r="H361" s="29"/>
      <c r="I361" s="29"/>
      <c r="J361" s="29"/>
      <c r="K361" s="6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29"/>
      <c r="AH361" s="29"/>
      <c r="AI361" s="29"/>
    </row>
    <row r="362" spans="1:35" ht="14.45" customHeight="1" x14ac:dyDescent="0.25">
      <c r="A362" s="29"/>
      <c r="B362" s="69"/>
      <c r="C362" s="29"/>
      <c r="D362" s="29"/>
      <c r="E362" s="70"/>
      <c r="F362" s="70"/>
      <c r="G362" s="71"/>
      <c r="H362" s="29"/>
      <c r="I362" s="29"/>
      <c r="J362" s="29"/>
      <c r="K362" s="6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29"/>
      <c r="AB362" s="29"/>
      <c r="AC362" s="29"/>
      <c r="AD362" s="29"/>
      <c r="AE362" s="29"/>
      <c r="AF362" s="29"/>
      <c r="AG362" s="29"/>
      <c r="AH362" s="29"/>
      <c r="AI362" s="29"/>
    </row>
    <row r="363" spans="1:35" ht="14.45" customHeight="1" x14ac:dyDescent="0.25">
      <c r="A363" s="29"/>
      <c r="B363" s="69"/>
      <c r="C363" s="29"/>
      <c r="D363" s="29"/>
      <c r="E363" s="70"/>
      <c r="F363" s="70"/>
      <c r="G363" s="71"/>
      <c r="H363" s="29"/>
      <c r="I363" s="29"/>
      <c r="J363" s="29"/>
      <c r="K363" s="6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  <c r="AD363" s="29"/>
      <c r="AE363" s="29"/>
      <c r="AF363" s="29"/>
      <c r="AG363" s="29"/>
      <c r="AH363" s="29"/>
      <c r="AI363" s="29"/>
    </row>
    <row r="364" spans="1:35" ht="14.45" customHeight="1" x14ac:dyDescent="0.25">
      <c r="A364" s="29"/>
      <c r="B364" s="69"/>
      <c r="C364" s="29"/>
      <c r="D364" s="29"/>
      <c r="E364" s="70"/>
      <c r="F364" s="70"/>
      <c r="G364" s="71"/>
      <c r="H364" s="29"/>
      <c r="I364" s="29"/>
      <c r="J364" s="29"/>
      <c r="K364" s="6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  <c r="AD364" s="29"/>
      <c r="AE364" s="29"/>
      <c r="AF364" s="29"/>
      <c r="AG364" s="29"/>
      <c r="AH364" s="29"/>
      <c r="AI364" s="29"/>
    </row>
    <row r="365" spans="1:35" ht="14.45" customHeight="1" x14ac:dyDescent="0.25">
      <c r="A365" s="29"/>
      <c r="B365" s="69"/>
      <c r="C365" s="29"/>
      <c r="D365" s="29"/>
      <c r="E365" s="70"/>
      <c r="F365" s="70"/>
      <c r="G365" s="71"/>
      <c r="H365" s="29"/>
      <c r="I365" s="29"/>
      <c r="J365" s="29"/>
      <c r="K365" s="6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29"/>
      <c r="AB365" s="29"/>
      <c r="AC365" s="29"/>
      <c r="AD365" s="29"/>
      <c r="AE365" s="29"/>
      <c r="AF365" s="29"/>
      <c r="AG365" s="29"/>
      <c r="AH365" s="29"/>
      <c r="AI365" s="29"/>
    </row>
    <row r="366" spans="1:35" ht="14.45" customHeight="1" x14ac:dyDescent="0.25">
      <c r="A366" s="29"/>
      <c r="B366" s="69"/>
      <c r="C366" s="29"/>
      <c r="D366" s="29"/>
      <c r="E366" s="70"/>
      <c r="F366" s="70"/>
      <c r="G366" s="71"/>
      <c r="H366" s="29"/>
      <c r="I366" s="29"/>
      <c r="J366" s="29"/>
      <c r="K366" s="6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29"/>
      <c r="AB366" s="29"/>
      <c r="AC366" s="29"/>
      <c r="AD366" s="29"/>
      <c r="AE366" s="29"/>
      <c r="AF366" s="29"/>
      <c r="AG366" s="29"/>
      <c r="AH366" s="29"/>
      <c r="AI366" s="29"/>
    </row>
    <row r="367" spans="1:35" ht="14.45" customHeight="1" x14ac:dyDescent="0.25">
      <c r="A367" s="29"/>
      <c r="B367" s="69"/>
      <c r="C367" s="29"/>
      <c r="D367" s="29"/>
      <c r="E367" s="70"/>
      <c r="F367" s="70"/>
      <c r="G367" s="71"/>
      <c r="H367" s="29"/>
      <c r="I367" s="29"/>
      <c r="J367" s="29"/>
      <c r="K367" s="6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29"/>
      <c r="AH367" s="29"/>
      <c r="AI367" s="29"/>
    </row>
    <row r="368" spans="1:35" ht="14.45" customHeight="1" x14ac:dyDescent="0.25">
      <c r="A368" s="29"/>
      <c r="B368" s="69"/>
      <c r="C368" s="29"/>
      <c r="D368" s="29"/>
      <c r="E368" s="70"/>
      <c r="F368" s="70"/>
      <c r="G368" s="71"/>
      <c r="H368" s="29"/>
      <c r="I368" s="29"/>
      <c r="J368" s="29"/>
      <c r="K368" s="6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29"/>
      <c r="AB368" s="29"/>
      <c r="AC368" s="29"/>
      <c r="AD368" s="29"/>
      <c r="AE368" s="29"/>
      <c r="AF368" s="29"/>
      <c r="AG368" s="29"/>
      <c r="AH368" s="29"/>
      <c r="AI368" s="29"/>
    </row>
    <row r="369" spans="1:35" ht="14.45" customHeight="1" x14ac:dyDescent="0.25">
      <c r="A369" s="29"/>
      <c r="B369" s="69"/>
      <c r="C369" s="29"/>
      <c r="D369" s="29"/>
      <c r="E369" s="70"/>
      <c r="F369" s="70"/>
      <c r="G369" s="71"/>
      <c r="H369" s="29"/>
      <c r="I369" s="29"/>
      <c r="J369" s="29"/>
      <c r="K369" s="6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29"/>
      <c r="AH369" s="29"/>
      <c r="AI369" s="29"/>
    </row>
    <row r="370" spans="1:35" ht="14.45" customHeight="1" x14ac:dyDescent="0.25">
      <c r="A370" s="29"/>
      <c r="B370" s="69"/>
      <c r="C370" s="29"/>
      <c r="D370" s="29"/>
      <c r="E370" s="70"/>
      <c r="F370" s="70"/>
      <c r="G370" s="71"/>
      <c r="H370" s="29"/>
      <c r="I370" s="29"/>
      <c r="J370" s="29"/>
      <c r="K370" s="6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  <c r="AD370" s="29"/>
      <c r="AE370" s="29"/>
      <c r="AF370" s="29"/>
      <c r="AG370" s="29"/>
      <c r="AH370" s="29"/>
      <c r="AI370" s="29"/>
    </row>
    <row r="371" spans="1:35" ht="14.45" customHeight="1" x14ac:dyDescent="0.25">
      <c r="A371" s="29"/>
      <c r="B371" s="69"/>
      <c r="C371" s="29"/>
      <c r="D371" s="29"/>
      <c r="E371" s="70"/>
      <c r="F371" s="70"/>
      <c r="G371" s="71"/>
      <c r="H371" s="29"/>
      <c r="I371" s="29"/>
      <c r="J371" s="29"/>
      <c r="K371" s="6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29"/>
      <c r="AB371" s="29"/>
      <c r="AC371" s="29"/>
      <c r="AD371" s="29"/>
      <c r="AE371" s="29"/>
      <c r="AF371" s="29"/>
      <c r="AG371" s="29"/>
      <c r="AH371" s="29"/>
      <c r="AI371" s="29"/>
    </row>
    <row r="372" spans="1:35" ht="14.45" customHeight="1" x14ac:dyDescent="0.25">
      <c r="A372" s="29"/>
      <c r="B372" s="69"/>
      <c r="C372" s="29"/>
      <c r="D372" s="29"/>
      <c r="E372" s="70"/>
      <c r="F372" s="70"/>
      <c r="G372" s="71"/>
      <c r="H372" s="29"/>
      <c r="I372" s="29"/>
      <c r="J372" s="29"/>
      <c r="K372" s="6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  <c r="AD372" s="29"/>
      <c r="AE372" s="29"/>
      <c r="AF372" s="29"/>
      <c r="AG372" s="29"/>
      <c r="AH372" s="29"/>
      <c r="AI372" s="29"/>
    </row>
    <row r="373" spans="1:35" ht="14.45" customHeight="1" x14ac:dyDescent="0.25">
      <c r="A373" s="29"/>
      <c r="B373" s="69"/>
      <c r="C373" s="29"/>
      <c r="D373" s="29"/>
      <c r="E373" s="70"/>
      <c r="F373" s="70"/>
      <c r="G373" s="71"/>
      <c r="H373" s="29"/>
      <c r="I373" s="29"/>
      <c r="J373" s="29"/>
      <c r="K373" s="6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  <c r="AD373" s="29"/>
      <c r="AE373" s="29"/>
      <c r="AF373" s="29"/>
      <c r="AG373" s="29"/>
      <c r="AH373" s="29"/>
      <c r="AI373" s="29"/>
    </row>
    <row r="374" spans="1:35" ht="14.45" customHeight="1" x14ac:dyDescent="0.25">
      <c r="A374" s="29"/>
      <c r="B374" s="69"/>
      <c r="C374" s="29"/>
      <c r="D374" s="29"/>
      <c r="E374" s="70"/>
      <c r="F374" s="70"/>
      <c r="G374" s="71"/>
      <c r="H374" s="29"/>
      <c r="I374" s="29"/>
      <c r="J374" s="29"/>
      <c r="K374" s="6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29"/>
      <c r="AB374" s="29"/>
      <c r="AC374" s="29"/>
      <c r="AD374" s="29"/>
      <c r="AE374" s="29"/>
      <c r="AF374" s="29"/>
      <c r="AG374" s="29"/>
      <c r="AH374" s="29"/>
      <c r="AI374" s="29"/>
    </row>
    <row r="375" spans="1:35" ht="14.45" customHeight="1" x14ac:dyDescent="0.25">
      <c r="A375" s="29"/>
      <c r="B375" s="69"/>
      <c r="C375" s="29"/>
      <c r="D375" s="29"/>
      <c r="E375" s="70"/>
      <c r="F375" s="70"/>
      <c r="G375" s="71"/>
      <c r="H375" s="29"/>
      <c r="I375" s="29"/>
      <c r="J375" s="29"/>
      <c r="K375" s="6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  <c r="AD375" s="29"/>
      <c r="AE375" s="29"/>
      <c r="AF375" s="29"/>
      <c r="AG375" s="29"/>
      <c r="AH375" s="29"/>
      <c r="AI375" s="29"/>
    </row>
    <row r="376" spans="1:35" ht="14.45" customHeight="1" x14ac:dyDescent="0.25">
      <c r="A376" s="29"/>
      <c r="B376" s="69"/>
      <c r="C376" s="29"/>
      <c r="D376" s="29"/>
      <c r="E376" s="70"/>
      <c r="F376" s="70"/>
      <c r="G376" s="71"/>
      <c r="H376" s="29"/>
      <c r="I376" s="29"/>
      <c r="J376" s="29"/>
      <c r="K376" s="6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29"/>
      <c r="AB376" s="29"/>
      <c r="AC376" s="29"/>
      <c r="AD376" s="29"/>
      <c r="AE376" s="29"/>
      <c r="AF376" s="29"/>
      <c r="AG376" s="29"/>
      <c r="AH376" s="29"/>
      <c r="AI376" s="29"/>
    </row>
    <row r="377" spans="1:35" ht="14.45" customHeight="1" x14ac:dyDescent="0.25">
      <c r="A377" s="29"/>
      <c r="B377" s="69"/>
      <c r="C377" s="29"/>
      <c r="D377" s="29"/>
      <c r="E377" s="70"/>
      <c r="F377" s="70"/>
      <c r="G377" s="71"/>
      <c r="H377" s="29"/>
      <c r="I377" s="29"/>
      <c r="J377" s="29"/>
      <c r="K377" s="6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29"/>
      <c r="AB377" s="29"/>
      <c r="AC377" s="29"/>
      <c r="AD377" s="29"/>
      <c r="AE377" s="29"/>
      <c r="AF377" s="29"/>
      <c r="AG377" s="29"/>
      <c r="AH377" s="29"/>
      <c r="AI377" s="29"/>
    </row>
    <row r="378" spans="1:35" ht="14.45" customHeight="1" x14ac:dyDescent="0.25">
      <c r="A378" s="29"/>
      <c r="B378" s="69"/>
      <c r="C378" s="29"/>
      <c r="D378" s="29"/>
      <c r="E378" s="70"/>
      <c r="F378" s="70"/>
      <c r="G378" s="71"/>
      <c r="H378" s="29"/>
      <c r="I378" s="29"/>
      <c r="J378" s="29"/>
      <c r="K378" s="6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  <c r="AD378" s="29"/>
      <c r="AE378" s="29"/>
      <c r="AF378" s="29"/>
      <c r="AG378" s="29"/>
      <c r="AH378" s="29"/>
      <c r="AI378" s="29"/>
    </row>
    <row r="379" spans="1:35" ht="14.45" customHeight="1" x14ac:dyDescent="0.25">
      <c r="A379" s="29"/>
      <c r="B379" s="69"/>
      <c r="C379" s="29"/>
      <c r="D379" s="29"/>
      <c r="E379" s="70"/>
      <c r="F379" s="70"/>
      <c r="G379" s="71"/>
      <c r="H379" s="29"/>
      <c r="I379" s="29"/>
      <c r="J379" s="29"/>
      <c r="K379" s="6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29"/>
      <c r="AH379" s="29"/>
      <c r="AI379" s="29"/>
    </row>
    <row r="380" spans="1:35" ht="14.45" customHeight="1" x14ac:dyDescent="0.25">
      <c r="A380" s="29"/>
      <c r="B380" s="69"/>
      <c r="C380" s="29"/>
      <c r="D380" s="29"/>
      <c r="E380" s="70"/>
      <c r="F380" s="70"/>
      <c r="G380" s="71"/>
      <c r="H380" s="29"/>
      <c r="I380" s="29"/>
      <c r="J380" s="29"/>
      <c r="K380" s="6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29"/>
      <c r="AB380" s="29"/>
      <c r="AC380" s="29"/>
      <c r="AD380" s="29"/>
      <c r="AE380" s="29"/>
      <c r="AF380" s="29"/>
      <c r="AG380" s="29"/>
      <c r="AH380" s="29"/>
      <c r="AI380" s="29"/>
    </row>
    <row r="381" spans="1:35" ht="14.45" customHeight="1" x14ac:dyDescent="0.25">
      <c r="A381" s="29"/>
      <c r="B381" s="69"/>
      <c r="C381" s="29"/>
      <c r="D381" s="29"/>
      <c r="E381" s="70"/>
      <c r="F381" s="70"/>
      <c r="G381" s="71"/>
      <c r="H381" s="29"/>
      <c r="I381" s="29"/>
      <c r="J381" s="29"/>
      <c r="K381" s="6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29"/>
      <c r="AH381" s="29"/>
      <c r="AI381" s="29"/>
    </row>
    <row r="382" spans="1:35" ht="14.45" customHeight="1" x14ac:dyDescent="0.25">
      <c r="A382" s="29"/>
      <c r="B382" s="69"/>
      <c r="C382" s="29"/>
      <c r="D382" s="29"/>
      <c r="E382" s="70"/>
      <c r="F382" s="70"/>
      <c r="G382" s="71"/>
      <c r="H382" s="29"/>
      <c r="I382" s="29"/>
      <c r="J382" s="29"/>
      <c r="K382" s="6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29"/>
      <c r="AH382" s="29"/>
      <c r="AI382" s="29"/>
    </row>
    <row r="383" spans="1:35" ht="14.45" customHeight="1" x14ac:dyDescent="0.25">
      <c r="A383" s="29"/>
      <c r="B383" s="69"/>
      <c r="C383" s="29"/>
      <c r="D383" s="29"/>
      <c r="E383" s="70"/>
      <c r="F383" s="70"/>
      <c r="G383" s="71"/>
      <c r="H383" s="29"/>
      <c r="I383" s="29"/>
      <c r="J383" s="29"/>
      <c r="K383" s="6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29"/>
      <c r="AB383" s="29"/>
      <c r="AC383" s="29"/>
      <c r="AD383" s="29"/>
      <c r="AE383" s="29"/>
      <c r="AF383" s="29"/>
      <c r="AG383" s="29"/>
      <c r="AH383" s="29"/>
      <c r="AI383" s="29"/>
    </row>
    <row r="384" spans="1:35" ht="14.45" customHeight="1" x14ac:dyDescent="0.25">
      <c r="A384" s="29"/>
      <c r="B384" s="69"/>
      <c r="C384" s="29"/>
      <c r="D384" s="29"/>
      <c r="E384" s="70"/>
      <c r="F384" s="70"/>
      <c r="G384" s="71"/>
      <c r="H384" s="29"/>
      <c r="I384" s="29"/>
      <c r="J384" s="29"/>
      <c r="K384" s="6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  <c r="AD384" s="29"/>
      <c r="AE384" s="29"/>
      <c r="AF384" s="29"/>
      <c r="AG384" s="29"/>
      <c r="AH384" s="29"/>
      <c r="AI384" s="29"/>
    </row>
    <row r="385" spans="1:35" ht="14.45" customHeight="1" x14ac:dyDescent="0.25">
      <c r="A385" s="29"/>
      <c r="B385" s="69"/>
      <c r="C385" s="29"/>
      <c r="D385" s="29"/>
      <c r="E385" s="70"/>
      <c r="F385" s="70"/>
      <c r="G385" s="71"/>
      <c r="H385" s="29"/>
      <c r="I385" s="29"/>
      <c r="J385" s="29"/>
      <c r="K385" s="6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29"/>
      <c r="AH385" s="29"/>
      <c r="AI385" s="29"/>
    </row>
    <row r="386" spans="1:35" ht="14.45" customHeight="1" x14ac:dyDescent="0.25">
      <c r="A386" s="29"/>
      <c r="B386" s="69"/>
      <c r="C386" s="29"/>
      <c r="D386" s="29"/>
      <c r="E386" s="70"/>
      <c r="F386" s="70"/>
      <c r="G386" s="71"/>
      <c r="H386" s="29"/>
      <c r="I386" s="29"/>
      <c r="J386" s="29"/>
      <c r="K386" s="6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29"/>
      <c r="AB386" s="29"/>
      <c r="AC386" s="29"/>
      <c r="AD386" s="29"/>
      <c r="AE386" s="29"/>
      <c r="AF386" s="29"/>
      <c r="AG386" s="29"/>
      <c r="AH386" s="29"/>
      <c r="AI386" s="29"/>
    </row>
    <row r="387" spans="1:35" ht="14.45" customHeight="1" x14ac:dyDescent="0.25">
      <c r="A387" s="29"/>
      <c r="B387" s="69"/>
      <c r="C387" s="29"/>
      <c r="D387" s="29"/>
      <c r="E387" s="70"/>
      <c r="F387" s="70"/>
      <c r="G387" s="71"/>
      <c r="H387" s="29"/>
      <c r="I387" s="29"/>
      <c r="J387" s="29"/>
      <c r="K387" s="6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29"/>
      <c r="AH387" s="29"/>
      <c r="AI387" s="29"/>
    </row>
    <row r="388" spans="1:35" ht="14.45" customHeight="1" x14ac:dyDescent="0.25">
      <c r="A388" s="29"/>
      <c r="B388" s="69"/>
      <c r="C388" s="29"/>
      <c r="D388" s="29"/>
      <c r="E388" s="70"/>
      <c r="F388" s="70"/>
      <c r="G388" s="71"/>
      <c r="H388" s="29"/>
      <c r="I388" s="29"/>
      <c r="J388" s="29"/>
      <c r="K388" s="6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29"/>
      <c r="AH388" s="29"/>
      <c r="AI388" s="29"/>
    </row>
    <row r="389" spans="1:35" ht="14.45" customHeight="1" x14ac:dyDescent="0.25">
      <c r="A389" s="29"/>
      <c r="B389" s="69"/>
      <c r="C389" s="29"/>
      <c r="D389" s="29"/>
      <c r="E389" s="70"/>
      <c r="F389" s="70"/>
      <c r="G389" s="71"/>
      <c r="H389" s="29"/>
      <c r="I389" s="29"/>
      <c r="J389" s="29"/>
      <c r="K389" s="6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29"/>
      <c r="AB389" s="29"/>
      <c r="AC389" s="29"/>
      <c r="AD389" s="29"/>
      <c r="AE389" s="29"/>
      <c r="AF389" s="29"/>
      <c r="AG389" s="29"/>
      <c r="AH389" s="29"/>
      <c r="AI389" s="29"/>
    </row>
    <row r="390" spans="1:35" ht="14.45" customHeight="1" x14ac:dyDescent="0.25">
      <c r="A390" s="29"/>
      <c r="B390" s="69"/>
      <c r="C390" s="29"/>
      <c r="D390" s="29"/>
      <c r="E390" s="70"/>
      <c r="F390" s="70"/>
      <c r="G390" s="71"/>
      <c r="H390" s="29"/>
      <c r="I390" s="29"/>
      <c r="J390" s="29"/>
      <c r="K390" s="6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29"/>
      <c r="AH390" s="29"/>
      <c r="AI390" s="29"/>
    </row>
    <row r="391" spans="1:35" ht="14.45" customHeight="1" x14ac:dyDescent="0.25">
      <c r="A391" s="29"/>
      <c r="B391" s="69"/>
      <c r="C391" s="29"/>
      <c r="D391" s="29"/>
      <c r="E391" s="70"/>
      <c r="F391" s="70"/>
      <c r="G391" s="71"/>
      <c r="H391" s="29"/>
      <c r="I391" s="29"/>
      <c r="J391" s="29"/>
      <c r="K391" s="6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29"/>
      <c r="AH391" s="29"/>
      <c r="AI391" s="29"/>
    </row>
    <row r="392" spans="1:35" ht="14.45" customHeight="1" x14ac:dyDescent="0.25">
      <c r="A392" s="29"/>
      <c r="B392" s="69"/>
      <c r="C392" s="29"/>
      <c r="D392" s="29"/>
      <c r="E392" s="70"/>
      <c r="F392" s="70"/>
      <c r="G392" s="71"/>
      <c r="H392" s="29"/>
      <c r="I392" s="29"/>
      <c r="J392" s="29"/>
      <c r="K392" s="6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29"/>
      <c r="AB392" s="29"/>
      <c r="AC392" s="29"/>
      <c r="AD392" s="29"/>
      <c r="AE392" s="29"/>
      <c r="AF392" s="29"/>
      <c r="AG392" s="29"/>
      <c r="AH392" s="29"/>
      <c r="AI392" s="29"/>
    </row>
    <row r="393" spans="1:35" ht="14.45" customHeight="1" x14ac:dyDescent="0.25">
      <c r="A393" s="29"/>
      <c r="B393" s="69"/>
      <c r="C393" s="29"/>
      <c r="D393" s="29"/>
      <c r="E393" s="70"/>
      <c r="F393" s="70"/>
      <c r="G393" s="71"/>
      <c r="H393" s="29"/>
      <c r="I393" s="29"/>
      <c r="J393" s="29"/>
      <c r="K393" s="6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29"/>
      <c r="AH393" s="29"/>
      <c r="AI393" s="29"/>
    </row>
    <row r="394" spans="1:35" ht="14.45" customHeight="1" x14ac:dyDescent="0.25">
      <c r="A394" s="29"/>
      <c r="B394" s="69"/>
      <c r="C394" s="29"/>
      <c r="D394" s="29"/>
      <c r="E394" s="70"/>
      <c r="F394" s="70"/>
      <c r="G394" s="71"/>
      <c r="H394" s="29"/>
      <c r="I394" s="29"/>
      <c r="J394" s="29"/>
      <c r="K394" s="6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29"/>
      <c r="AH394" s="29"/>
      <c r="AI394" s="29"/>
    </row>
    <row r="395" spans="1:35" ht="14.45" customHeight="1" x14ac:dyDescent="0.25">
      <c r="A395" s="29"/>
      <c r="B395" s="69"/>
      <c r="C395" s="29"/>
      <c r="D395" s="29"/>
      <c r="E395" s="70"/>
      <c r="F395" s="70"/>
      <c r="G395" s="71"/>
      <c r="H395" s="29"/>
      <c r="I395" s="29"/>
      <c r="J395" s="29"/>
      <c r="K395" s="6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29"/>
      <c r="AB395" s="29"/>
      <c r="AC395" s="29"/>
      <c r="AD395" s="29"/>
      <c r="AE395" s="29"/>
      <c r="AF395" s="29"/>
      <c r="AG395" s="29"/>
      <c r="AH395" s="29"/>
      <c r="AI395" s="29"/>
    </row>
    <row r="396" spans="1:35" ht="14.45" customHeight="1" x14ac:dyDescent="0.25">
      <c r="A396" s="29"/>
      <c r="B396" s="69"/>
      <c r="C396" s="29"/>
      <c r="D396" s="29"/>
      <c r="E396" s="70"/>
      <c r="F396" s="70"/>
      <c r="G396" s="71"/>
      <c r="H396" s="29"/>
      <c r="I396" s="29"/>
      <c r="J396" s="29"/>
      <c r="K396" s="6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29"/>
      <c r="AB396" s="29"/>
      <c r="AC396" s="29"/>
      <c r="AD396" s="29"/>
      <c r="AE396" s="29"/>
      <c r="AF396" s="29"/>
      <c r="AG396" s="29"/>
      <c r="AH396" s="29"/>
      <c r="AI396" s="29"/>
    </row>
    <row r="397" spans="1:35" ht="14.45" customHeight="1" x14ac:dyDescent="0.25">
      <c r="A397" s="29"/>
      <c r="B397" s="69"/>
      <c r="C397" s="29"/>
      <c r="D397" s="29"/>
      <c r="E397" s="70"/>
      <c r="F397" s="70"/>
      <c r="G397" s="71"/>
      <c r="H397" s="29"/>
      <c r="I397" s="29"/>
      <c r="J397" s="29"/>
      <c r="K397" s="6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29"/>
      <c r="AH397" s="29"/>
      <c r="AI397" s="29"/>
    </row>
    <row r="398" spans="1:35" ht="14.45" customHeight="1" x14ac:dyDescent="0.25">
      <c r="A398" s="29"/>
      <c r="B398" s="69"/>
      <c r="C398" s="29"/>
      <c r="D398" s="29"/>
      <c r="E398" s="70"/>
      <c r="F398" s="70"/>
      <c r="G398" s="71"/>
      <c r="H398" s="29"/>
      <c r="I398" s="29"/>
      <c r="J398" s="29"/>
      <c r="K398" s="6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29"/>
      <c r="AB398" s="29"/>
      <c r="AC398" s="29"/>
      <c r="AD398" s="29"/>
      <c r="AE398" s="29"/>
      <c r="AF398" s="29"/>
      <c r="AG398" s="29"/>
      <c r="AH398" s="29"/>
      <c r="AI398" s="29"/>
    </row>
    <row r="399" spans="1:35" ht="14.45" customHeight="1" x14ac:dyDescent="0.25">
      <c r="A399" s="29"/>
      <c r="B399" s="69"/>
      <c r="C399" s="29"/>
      <c r="D399" s="29"/>
      <c r="E399" s="70"/>
      <c r="F399" s="70"/>
      <c r="G399" s="71"/>
      <c r="H399" s="29"/>
      <c r="I399" s="29"/>
      <c r="J399" s="29"/>
      <c r="K399" s="6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29"/>
      <c r="AH399" s="29"/>
      <c r="AI399" s="29"/>
    </row>
    <row r="400" spans="1:35" ht="14.45" customHeight="1" x14ac:dyDescent="0.25">
      <c r="A400" s="29"/>
      <c r="B400" s="69"/>
      <c r="C400" s="29"/>
      <c r="D400" s="29"/>
      <c r="E400" s="70"/>
      <c r="F400" s="70"/>
      <c r="G400" s="71"/>
      <c r="H400" s="29"/>
      <c r="I400" s="29"/>
      <c r="J400" s="29"/>
      <c r="K400" s="6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  <c r="AD400" s="29"/>
      <c r="AE400" s="29"/>
      <c r="AF400" s="29"/>
      <c r="AG400" s="29"/>
      <c r="AH400" s="29"/>
      <c r="AI400" s="29"/>
    </row>
    <row r="401" spans="1:35" ht="14.45" customHeight="1" x14ac:dyDescent="0.25">
      <c r="A401" s="29"/>
      <c r="B401" s="69"/>
      <c r="C401" s="29"/>
      <c r="D401" s="29"/>
      <c r="E401" s="70"/>
      <c r="F401" s="70"/>
      <c r="G401" s="71"/>
      <c r="H401" s="29"/>
      <c r="I401" s="29"/>
      <c r="J401" s="29"/>
      <c r="K401" s="6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29"/>
      <c r="AB401" s="29"/>
      <c r="AC401" s="29"/>
      <c r="AD401" s="29"/>
      <c r="AE401" s="29"/>
      <c r="AF401" s="29"/>
      <c r="AG401" s="29"/>
      <c r="AH401" s="29"/>
      <c r="AI401" s="29"/>
    </row>
    <row r="402" spans="1:35" ht="14.45" customHeight="1" x14ac:dyDescent="0.25">
      <c r="A402" s="29"/>
      <c r="B402" s="69"/>
      <c r="C402" s="29"/>
      <c r="D402" s="29"/>
      <c r="E402" s="70"/>
      <c r="F402" s="70"/>
      <c r="G402" s="71"/>
      <c r="H402" s="29"/>
      <c r="I402" s="29"/>
      <c r="J402" s="29"/>
      <c r="K402" s="6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29"/>
      <c r="AH402" s="29"/>
      <c r="AI402" s="29"/>
    </row>
    <row r="403" spans="1:35" ht="14.45" customHeight="1" x14ac:dyDescent="0.25">
      <c r="A403" s="29"/>
      <c r="B403" s="69"/>
      <c r="C403" s="29"/>
      <c r="D403" s="29"/>
      <c r="E403" s="70"/>
      <c r="F403" s="70"/>
      <c r="G403" s="71"/>
      <c r="H403" s="29"/>
      <c r="I403" s="29"/>
      <c r="J403" s="29"/>
      <c r="K403" s="6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29"/>
      <c r="AH403" s="29"/>
      <c r="AI403" s="29"/>
    </row>
    <row r="404" spans="1:35" ht="14.45" customHeight="1" x14ac:dyDescent="0.25">
      <c r="A404" s="29"/>
      <c r="B404" s="69"/>
      <c r="C404" s="29"/>
      <c r="D404" s="29"/>
      <c r="E404" s="70"/>
      <c r="F404" s="70"/>
      <c r="G404" s="71"/>
      <c r="H404" s="29"/>
      <c r="I404" s="29"/>
      <c r="J404" s="29"/>
      <c r="K404" s="6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  <c r="AH404" s="29"/>
      <c r="AI404" s="29"/>
    </row>
    <row r="405" spans="1:35" ht="14.45" customHeight="1" x14ac:dyDescent="0.25">
      <c r="A405" s="29"/>
      <c r="B405" s="69"/>
      <c r="C405" s="29"/>
      <c r="D405" s="29"/>
      <c r="E405" s="70"/>
      <c r="F405" s="70"/>
      <c r="G405" s="71"/>
      <c r="H405" s="29"/>
      <c r="I405" s="29"/>
      <c r="J405" s="29"/>
      <c r="K405" s="6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29"/>
      <c r="AH405" s="29"/>
      <c r="AI405" s="29"/>
    </row>
    <row r="406" spans="1:35" ht="14.45" customHeight="1" x14ac:dyDescent="0.25">
      <c r="A406" s="29"/>
      <c r="B406" s="69"/>
      <c r="C406" s="29"/>
      <c r="D406" s="29"/>
      <c r="E406" s="70"/>
      <c r="F406" s="70"/>
      <c r="G406" s="71"/>
      <c r="H406" s="29"/>
      <c r="I406" s="29"/>
      <c r="J406" s="29"/>
      <c r="K406" s="6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29"/>
      <c r="AH406" s="29"/>
      <c r="AI406" s="29"/>
    </row>
    <row r="407" spans="1:35" ht="14.45" customHeight="1" x14ac:dyDescent="0.25">
      <c r="A407" s="29"/>
      <c r="B407" s="69"/>
      <c r="C407" s="29"/>
      <c r="D407" s="29"/>
      <c r="E407" s="70"/>
      <c r="F407" s="70"/>
      <c r="G407" s="71"/>
      <c r="H407" s="29"/>
      <c r="I407" s="29"/>
      <c r="J407" s="29"/>
      <c r="K407" s="6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  <c r="AH407" s="29"/>
      <c r="AI407" s="29"/>
    </row>
    <row r="408" spans="1:35" ht="14.45" customHeight="1" x14ac:dyDescent="0.25">
      <c r="A408" s="29"/>
      <c r="B408" s="69"/>
      <c r="C408" s="29"/>
      <c r="D408" s="29"/>
      <c r="E408" s="70"/>
      <c r="F408" s="70"/>
      <c r="G408" s="71"/>
      <c r="H408" s="29"/>
      <c r="I408" s="29"/>
      <c r="J408" s="29"/>
      <c r="K408" s="6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  <c r="AH408" s="29"/>
      <c r="AI408" s="29"/>
    </row>
    <row r="409" spans="1:35" ht="14.45" customHeight="1" x14ac:dyDescent="0.25">
      <c r="A409" s="29"/>
      <c r="B409" s="69"/>
      <c r="C409" s="29"/>
      <c r="D409" s="29"/>
      <c r="E409" s="70"/>
      <c r="F409" s="70"/>
      <c r="G409" s="71"/>
      <c r="H409" s="29"/>
      <c r="I409" s="29"/>
      <c r="J409" s="29"/>
      <c r="K409" s="6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29"/>
      <c r="AH409" s="29"/>
      <c r="AI409" s="29"/>
    </row>
    <row r="410" spans="1:35" ht="14.45" customHeight="1" x14ac:dyDescent="0.25">
      <c r="A410" s="29"/>
      <c r="B410" s="69"/>
      <c r="C410" s="29"/>
      <c r="D410" s="29"/>
      <c r="E410" s="70"/>
      <c r="F410" s="70"/>
      <c r="G410" s="71"/>
      <c r="H410" s="29"/>
      <c r="I410" s="29"/>
      <c r="J410" s="29"/>
      <c r="K410" s="6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  <c r="AH410" s="29"/>
      <c r="AI410" s="29"/>
    </row>
    <row r="411" spans="1:35" ht="14.45" customHeight="1" x14ac:dyDescent="0.25">
      <c r="A411" s="29"/>
      <c r="B411" s="69"/>
      <c r="C411" s="29"/>
      <c r="D411" s="29"/>
      <c r="E411" s="70"/>
      <c r="F411" s="70"/>
      <c r="G411" s="71"/>
      <c r="H411" s="29"/>
      <c r="I411" s="29"/>
      <c r="J411" s="29"/>
      <c r="K411" s="6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  <c r="AH411" s="29"/>
      <c r="AI411" s="29"/>
    </row>
    <row r="412" spans="1:35" ht="14.45" customHeight="1" x14ac:dyDescent="0.25">
      <c r="A412" s="29"/>
      <c r="B412" s="69"/>
      <c r="C412" s="29"/>
      <c r="D412" s="29"/>
      <c r="E412" s="70"/>
      <c r="F412" s="70"/>
      <c r="G412" s="71"/>
      <c r="H412" s="29"/>
      <c r="I412" s="29"/>
      <c r="J412" s="29"/>
      <c r="K412" s="6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  <c r="AH412" s="29"/>
      <c r="AI412" s="29"/>
    </row>
    <row r="413" spans="1:35" ht="14.45" customHeight="1" x14ac:dyDescent="0.25">
      <c r="A413" s="29"/>
      <c r="B413" s="69"/>
      <c r="C413" s="29"/>
      <c r="D413" s="29"/>
      <c r="E413" s="70"/>
      <c r="F413" s="70"/>
      <c r="G413" s="71"/>
      <c r="H413" s="29"/>
      <c r="I413" s="29"/>
      <c r="J413" s="29"/>
      <c r="K413" s="6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29"/>
      <c r="AB413" s="29"/>
      <c r="AC413" s="29"/>
      <c r="AD413" s="29"/>
      <c r="AE413" s="29"/>
      <c r="AF413" s="29"/>
      <c r="AG413" s="29"/>
      <c r="AH413" s="29"/>
      <c r="AI413" s="29"/>
    </row>
    <row r="414" spans="1:35" ht="14.45" customHeight="1" x14ac:dyDescent="0.25">
      <c r="A414" s="29"/>
      <c r="B414" s="69"/>
      <c r="C414" s="29"/>
      <c r="D414" s="29"/>
      <c r="E414" s="70"/>
      <c r="F414" s="70"/>
      <c r="G414" s="71"/>
      <c r="H414" s="29"/>
      <c r="I414" s="29"/>
      <c r="J414" s="29"/>
      <c r="K414" s="6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29"/>
      <c r="AH414" s="29"/>
      <c r="AI414" s="29"/>
    </row>
    <row r="415" spans="1:35" ht="14.45" customHeight="1" x14ac:dyDescent="0.25">
      <c r="A415" s="29"/>
      <c r="B415" s="69"/>
      <c r="C415" s="29"/>
      <c r="D415" s="29"/>
      <c r="E415" s="70"/>
      <c r="F415" s="70"/>
      <c r="G415" s="71"/>
      <c r="H415" s="29"/>
      <c r="I415" s="29"/>
      <c r="J415" s="29"/>
      <c r="K415" s="6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  <c r="AH415" s="29"/>
      <c r="AI415" s="29"/>
    </row>
    <row r="416" spans="1:35" ht="14.45" customHeight="1" x14ac:dyDescent="0.25">
      <c r="A416" s="29"/>
      <c r="B416" s="69"/>
      <c r="C416" s="29"/>
      <c r="D416" s="29"/>
      <c r="E416" s="70"/>
      <c r="F416" s="70"/>
      <c r="G416" s="71"/>
      <c r="H416" s="29"/>
      <c r="I416" s="29"/>
      <c r="J416" s="29"/>
      <c r="K416" s="6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29"/>
      <c r="AB416" s="29"/>
      <c r="AC416" s="29"/>
      <c r="AD416" s="29"/>
      <c r="AE416" s="29"/>
      <c r="AF416" s="29"/>
      <c r="AG416" s="29"/>
      <c r="AH416" s="29"/>
      <c r="AI416" s="29"/>
    </row>
    <row r="417" spans="1:35" ht="14.45" customHeight="1" x14ac:dyDescent="0.25">
      <c r="A417" s="29"/>
      <c r="B417" s="69"/>
      <c r="C417" s="29"/>
      <c r="D417" s="29"/>
      <c r="E417" s="70"/>
      <c r="F417" s="70"/>
      <c r="G417" s="71"/>
      <c r="H417" s="29"/>
      <c r="I417" s="29"/>
      <c r="J417" s="29"/>
      <c r="K417" s="6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29"/>
      <c r="AH417" s="29"/>
      <c r="AI417" s="29"/>
    </row>
    <row r="418" spans="1:35" ht="14.45" customHeight="1" x14ac:dyDescent="0.25">
      <c r="A418" s="29"/>
      <c r="B418" s="69"/>
      <c r="C418" s="29"/>
      <c r="D418" s="29"/>
      <c r="E418" s="70"/>
      <c r="F418" s="70"/>
      <c r="G418" s="71"/>
      <c r="H418" s="29"/>
      <c r="I418" s="29"/>
      <c r="J418" s="29"/>
      <c r="K418" s="6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  <c r="AH418" s="29"/>
      <c r="AI418" s="29"/>
    </row>
    <row r="419" spans="1:35" ht="14.45" customHeight="1" x14ac:dyDescent="0.25">
      <c r="A419" s="29"/>
      <c r="B419" s="69"/>
      <c r="C419" s="29"/>
      <c r="D419" s="29"/>
      <c r="E419" s="70"/>
      <c r="F419" s="70"/>
      <c r="G419" s="71"/>
      <c r="H419" s="29"/>
      <c r="I419" s="29"/>
      <c r="J419" s="29"/>
      <c r="K419" s="6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29"/>
      <c r="AB419" s="29"/>
      <c r="AC419" s="29"/>
      <c r="AD419" s="29"/>
      <c r="AE419" s="29"/>
      <c r="AF419" s="29"/>
      <c r="AG419" s="29"/>
      <c r="AH419" s="29"/>
      <c r="AI419" s="29"/>
    </row>
    <row r="420" spans="1:35" ht="14.45" customHeight="1" x14ac:dyDescent="0.25">
      <c r="A420" s="29"/>
      <c r="B420" s="69"/>
      <c r="C420" s="29"/>
      <c r="D420" s="29"/>
      <c r="E420" s="70"/>
      <c r="F420" s="70"/>
      <c r="G420" s="71"/>
      <c r="H420" s="29"/>
      <c r="I420" s="29"/>
      <c r="J420" s="29"/>
      <c r="K420" s="6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29"/>
      <c r="AH420" s="29"/>
      <c r="AI420" s="29"/>
    </row>
    <row r="421" spans="1:35" ht="14.45" customHeight="1" x14ac:dyDescent="0.25">
      <c r="A421" s="29"/>
      <c r="B421" s="69"/>
      <c r="C421" s="29"/>
      <c r="D421" s="29"/>
      <c r="E421" s="70"/>
      <c r="F421" s="70"/>
      <c r="G421" s="71"/>
      <c r="H421" s="29"/>
      <c r="I421" s="29"/>
      <c r="J421" s="29"/>
      <c r="K421" s="6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  <c r="AH421" s="29"/>
      <c r="AI421" s="29"/>
    </row>
    <row r="422" spans="1:35" ht="14.45" customHeight="1" x14ac:dyDescent="0.25">
      <c r="A422" s="29"/>
      <c r="B422" s="69"/>
      <c r="C422" s="29"/>
      <c r="D422" s="29"/>
      <c r="E422" s="70"/>
      <c r="F422" s="70"/>
      <c r="G422" s="71"/>
      <c r="H422" s="29"/>
      <c r="I422" s="29"/>
      <c r="J422" s="29"/>
      <c r="K422" s="6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29"/>
      <c r="AB422" s="29"/>
      <c r="AC422" s="29"/>
      <c r="AD422" s="29"/>
      <c r="AE422" s="29"/>
      <c r="AF422" s="29"/>
      <c r="AG422" s="29"/>
      <c r="AH422" s="29"/>
      <c r="AI422" s="29"/>
    </row>
    <row r="423" spans="1:35" ht="14.45" customHeight="1" x14ac:dyDescent="0.25">
      <c r="A423" s="29"/>
      <c r="B423" s="69"/>
      <c r="C423" s="29"/>
      <c r="D423" s="29"/>
      <c r="E423" s="70"/>
      <c r="F423" s="70"/>
      <c r="G423" s="71"/>
      <c r="H423" s="29"/>
      <c r="I423" s="29"/>
      <c r="J423" s="29"/>
      <c r="K423" s="6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  <c r="AH423" s="29"/>
      <c r="AI423" s="29"/>
    </row>
    <row r="424" spans="1:35" ht="14.45" customHeight="1" x14ac:dyDescent="0.25">
      <c r="A424" s="29"/>
      <c r="B424" s="69"/>
      <c r="C424" s="29"/>
      <c r="D424" s="29"/>
      <c r="E424" s="70"/>
      <c r="F424" s="70"/>
      <c r="G424" s="71"/>
      <c r="H424" s="29"/>
      <c r="I424" s="29"/>
      <c r="J424" s="29"/>
      <c r="K424" s="6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</row>
    <row r="425" spans="1:35" ht="14.45" customHeight="1" x14ac:dyDescent="0.25">
      <c r="A425" s="29"/>
      <c r="B425" s="69"/>
      <c r="C425" s="29"/>
      <c r="D425" s="29"/>
      <c r="E425" s="70"/>
      <c r="F425" s="70"/>
      <c r="G425" s="71"/>
      <c r="H425" s="29"/>
      <c r="I425" s="29"/>
      <c r="J425" s="29"/>
      <c r="K425" s="6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  <c r="AH425" s="29"/>
      <c r="AI425" s="29"/>
    </row>
    <row r="426" spans="1:35" ht="14.45" customHeight="1" x14ac:dyDescent="0.25">
      <c r="A426" s="29"/>
      <c r="B426" s="69"/>
      <c r="C426" s="29"/>
      <c r="D426" s="29"/>
      <c r="E426" s="70"/>
      <c r="F426" s="70"/>
      <c r="G426" s="71"/>
      <c r="H426" s="29"/>
      <c r="I426" s="29"/>
      <c r="J426" s="29"/>
      <c r="K426" s="6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29"/>
      <c r="AH426" s="29"/>
      <c r="AI426" s="29"/>
    </row>
    <row r="427" spans="1:35" ht="14.45" customHeight="1" x14ac:dyDescent="0.25">
      <c r="A427" s="29"/>
      <c r="B427" s="69"/>
      <c r="C427" s="29"/>
      <c r="D427" s="29"/>
      <c r="E427" s="70"/>
      <c r="F427" s="70"/>
      <c r="G427" s="71"/>
      <c r="H427" s="29"/>
      <c r="I427" s="29"/>
      <c r="J427" s="29"/>
      <c r="K427" s="6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29"/>
      <c r="AH427" s="29"/>
      <c r="AI427" s="29"/>
    </row>
    <row r="428" spans="1:35" ht="14.45" customHeight="1" x14ac:dyDescent="0.25">
      <c r="A428" s="29"/>
      <c r="B428" s="69"/>
      <c r="C428" s="29"/>
      <c r="D428" s="29"/>
      <c r="E428" s="70"/>
      <c r="F428" s="70"/>
      <c r="G428" s="71"/>
      <c r="H428" s="29"/>
      <c r="I428" s="29"/>
      <c r="J428" s="29"/>
      <c r="K428" s="6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29"/>
      <c r="AB428" s="29"/>
      <c r="AC428" s="29"/>
      <c r="AD428" s="29"/>
      <c r="AE428" s="29"/>
      <c r="AF428" s="29"/>
      <c r="AG428" s="29"/>
      <c r="AH428" s="29"/>
      <c r="AI428" s="29"/>
    </row>
    <row r="429" spans="1:35" ht="14.45" customHeight="1" x14ac:dyDescent="0.25">
      <c r="A429" s="29"/>
      <c r="B429" s="69"/>
      <c r="C429" s="29"/>
      <c r="D429" s="29"/>
      <c r="E429" s="70"/>
      <c r="F429" s="70"/>
      <c r="G429" s="71"/>
      <c r="H429" s="29"/>
      <c r="I429" s="29"/>
      <c r="J429" s="29"/>
      <c r="K429" s="6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29"/>
      <c r="AH429" s="29"/>
      <c r="AI429" s="29"/>
    </row>
    <row r="430" spans="1:35" ht="14.45" customHeight="1" x14ac:dyDescent="0.25">
      <c r="A430" s="29"/>
      <c r="B430" s="69"/>
      <c r="C430" s="29"/>
      <c r="D430" s="29"/>
      <c r="E430" s="70"/>
      <c r="F430" s="70"/>
      <c r="G430" s="71"/>
      <c r="H430" s="29"/>
      <c r="I430" s="29"/>
      <c r="J430" s="29"/>
      <c r="K430" s="6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29"/>
      <c r="AH430" s="29"/>
      <c r="AI430" s="29"/>
    </row>
    <row r="431" spans="1:35" ht="14.45" customHeight="1" x14ac:dyDescent="0.25">
      <c r="A431" s="29"/>
      <c r="B431" s="69"/>
      <c r="C431" s="29"/>
      <c r="D431" s="29"/>
      <c r="E431" s="70"/>
      <c r="F431" s="70"/>
      <c r="G431" s="71"/>
      <c r="H431" s="29"/>
      <c r="I431" s="29"/>
      <c r="J431" s="29"/>
      <c r="K431" s="6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29"/>
      <c r="AB431" s="29"/>
      <c r="AC431" s="29"/>
      <c r="AD431" s="29"/>
      <c r="AE431" s="29"/>
      <c r="AF431" s="29"/>
      <c r="AG431" s="29"/>
      <c r="AH431" s="29"/>
      <c r="AI431" s="29"/>
    </row>
    <row r="432" spans="1:35" ht="14.45" customHeight="1" x14ac:dyDescent="0.25">
      <c r="A432" s="29"/>
      <c r="B432" s="69"/>
      <c r="C432" s="29"/>
      <c r="D432" s="29"/>
      <c r="E432" s="70"/>
      <c r="F432" s="70"/>
      <c r="G432" s="71"/>
      <c r="H432" s="29"/>
      <c r="I432" s="29"/>
      <c r="J432" s="29"/>
      <c r="K432" s="6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29"/>
      <c r="AH432" s="29"/>
      <c r="AI432" s="29"/>
    </row>
    <row r="433" spans="1:35" ht="14.45" customHeight="1" x14ac:dyDescent="0.25">
      <c r="A433" s="29"/>
      <c r="B433" s="69"/>
      <c r="C433" s="29"/>
      <c r="D433" s="29"/>
      <c r="E433" s="70"/>
      <c r="F433" s="70"/>
      <c r="G433" s="71"/>
      <c r="H433" s="29"/>
      <c r="I433" s="29"/>
      <c r="J433" s="29"/>
      <c r="K433" s="6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29"/>
      <c r="AH433" s="29"/>
      <c r="AI433" s="29"/>
    </row>
    <row r="434" spans="1:35" ht="14.45" customHeight="1" x14ac:dyDescent="0.25">
      <c r="A434" s="29"/>
      <c r="B434" s="69"/>
      <c r="C434" s="29"/>
      <c r="D434" s="29"/>
      <c r="E434" s="70"/>
      <c r="F434" s="70"/>
      <c r="G434" s="71"/>
      <c r="H434" s="29"/>
      <c r="I434" s="29"/>
      <c r="J434" s="29"/>
      <c r="K434" s="6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29"/>
      <c r="AB434" s="29"/>
      <c r="AC434" s="29"/>
      <c r="AD434" s="29"/>
      <c r="AE434" s="29"/>
      <c r="AF434" s="29"/>
      <c r="AG434" s="29"/>
      <c r="AH434" s="29"/>
      <c r="AI434" s="29"/>
    </row>
    <row r="435" spans="1:35" ht="14.45" customHeight="1" x14ac:dyDescent="0.25">
      <c r="A435" s="29"/>
      <c r="B435" s="69"/>
      <c r="C435" s="29"/>
      <c r="D435" s="29"/>
      <c r="E435" s="70"/>
      <c r="F435" s="70"/>
      <c r="G435" s="71"/>
      <c r="H435" s="29"/>
      <c r="I435" s="29"/>
      <c r="J435" s="29"/>
      <c r="K435" s="6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29"/>
      <c r="AH435" s="29"/>
      <c r="AI435" s="29"/>
    </row>
    <row r="436" spans="1:35" ht="14.45" customHeight="1" x14ac:dyDescent="0.25">
      <c r="A436" s="29"/>
      <c r="B436" s="69"/>
      <c r="C436" s="29"/>
      <c r="D436" s="29"/>
      <c r="E436" s="70"/>
      <c r="F436" s="70"/>
      <c r="G436" s="71"/>
      <c r="H436" s="29"/>
      <c r="I436" s="29"/>
      <c r="J436" s="29"/>
      <c r="K436" s="6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29"/>
      <c r="AH436" s="29"/>
      <c r="AI436" s="29"/>
    </row>
    <row r="437" spans="1:35" ht="14.45" customHeight="1" x14ac:dyDescent="0.25">
      <c r="A437" s="29"/>
      <c r="B437" s="69"/>
      <c r="C437" s="29"/>
      <c r="D437" s="29"/>
      <c r="E437" s="70"/>
      <c r="F437" s="70"/>
      <c r="G437" s="71"/>
      <c r="H437" s="29"/>
      <c r="I437" s="29"/>
      <c r="J437" s="29"/>
      <c r="K437" s="6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29"/>
      <c r="AB437" s="29"/>
      <c r="AC437" s="29"/>
      <c r="AD437" s="29"/>
      <c r="AE437" s="29"/>
      <c r="AF437" s="29"/>
      <c r="AG437" s="29"/>
      <c r="AH437" s="29"/>
      <c r="AI437" s="29"/>
    </row>
    <row r="438" spans="1:35" ht="14.45" customHeight="1" x14ac:dyDescent="0.25">
      <c r="A438" s="29"/>
      <c r="B438" s="69"/>
      <c r="C438" s="29"/>
      <c r="D438" s="29"/>
      <c r="E438" s="70"/>
      <c r="F438" s="70"/>
      <c r="G438" s="71"/>
      <c r="H438" s="29"/>
      <c r="I438" s="29"/>
      <c r="J438" s="29"/>
      <c r="K438" s="6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29"/>
      <c r="AH438" s="29"/>
      <c r="AI438" s="29"/>
    </row>
    <row r="439" spans="1:35" ht="14.45" customHeight="1" x14ac:dyDescent="0.25">
      <c r="A439" s="29"/>
      <c r="B439" s="69"/>
      <c r="C439" s="29"/>
      <c r="D439" s="29"/>
      <c r="E439" s="70"/>
      <c r="F439" s="70"/>
      <c r="G439" s="71"/>
      <c r="H439" s="29"/>
      <c r="I439" s="29"/>
      <c r="J439" s="29"/>
      <c r="K439" s="6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29"/>
      <c r="AH439" s="29"/>
      <c r="AI439" s="29"/>
    </row>
    <row r="440" spans="1:35" ht="14.45" customHeight="1" x14ac:dyDescent="0.25">
      <c r="A440" s="29"/>
      <c r="B440" s="69"/>
      <c r="C440" s="29"/>
      <c r="D440" s="29"/>
      <c r="E440" s="70"/>
      <c r="F440" s="70"/>
      <c r="G440" s="71"/>
      <c r="H440" s="29"/>
      <c r="I440" s="29"/>
      <c r="J440" s="29"/>
      <c r="K440" s="6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29"/>
      <c r="AB440" s="29"/>
      <c r="AC440" s="29"/>
      <c r="AD440" s="29"/>
      <c r="AE440" s="29"/>
      <c r="AF440" s="29"/>
      <c r="AG440" s="29"/>
      <c r="AH440" s="29"/>
      <c r="AI440" s="29"/>
    </row>
    <row r="441" spans="1:35" ht="14.45" customHeight="1" x14ac:dyDescent="0.25">
      <c r="A441" s="29"/>
      <c r="B441" s="69"/>
      <c r="C441" s="29"/>
      <c r="D441" s="29"/>
      <c r="E441" s="70"/>
      <c r="F441" s="70"/>
      <c r="G441" s="71"/>
      <c r="H441" s="29"/>
      <c r="I441" s="29"/>
      <c r="J441" s="29"/>
      <c r="K441" s="6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29"/>
      <c r="AH441" s="29"/>
      <c r="AI441" s="29"/>
    </row>
    <row r="442" spans="1:35" ht="14.45" customHeight="1" x14ac:dyDescent="0.25">
      <c r="A442" s="29"/>
      <c r="B442" s="69"/>
      <c r="C442" s="29"/>
      <c r="D442" s="29"/>
      <c r="E442" s="70"/>
      <c r="F442" s="70"/>
      <c r="G442" s="71"/>
      <c r="H442" s="29"/>
      <c r="I442" s="29"/>
      <c r="J442" s="29"/>
      <c r="K442" s="6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  <c r="AD442" s="29"/>
      <c r="AE442" s="29"/>
      <c r="AF442" s="29"/>
      <c r="AG442" s="29"/>
      <c r="AH442" s="29"/>
      <c r="AI442" s="29"/>
    </row>
    <row r="443" spans="1:35" ht="14.45" customHeight="1" x14ac:dyDescent="0.25">
      <c r="A443" s="29"/>
      <c r="B443" s="69"/>
      <c r="C443" s="29"/>
      <c r="D443" s="29"/>
      <c r="E443" s="70"/>
      <c r="F443" s="70"/>
      <c r="G443" s="71"/>
      <c r="H443" s="29"/>
      <c r="I443" s="29"/>
      <c r="J443" s="29"/>
      <c r="K443" s="6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29"/>
      <c r="AB443" s="29"/>
      <c r="AC443" s="29"/>
      <c r="AD443" s="29"/>
      <c r="AE443" s="29"/>
      <c r="AF443" s="29"/>
      <c r="AG443" s="29"/>
      <c r="AH443" s="29"/>
      <c r="AI443" s="29"/>
    </row>
    <row r="444" spans="1:35" ht="14.45" customHeight="1" x14ac:dyDescent="0.25">
      <c r="A444" s="29"/>
      <c r="B444" s="69"/>
      <c r="C444" s="29"/>
      <c r="D444" s="29"/>
      <c r="E444" s="70"/>
      <c r="F444" s="70"/>
      <c r="G444" s="71"/>
      <c r="H444" s="29"/>
      <c r="I444" s="29"/>
      <c r="J444" s="29"/>
      <c r="K444" s="6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29"/>
      <c r="AH444" s="29"/>
      <c r="AI444" s="29"/>
    </row>
    <row r="445" spans="1:35" ht="14.45" customHeight="1" x14ac:dyDescent="0.25">
      <c r="A445" s="29"/>
      <c r="B445" s="69"/>
      <c r="C445" s="29"/>
      <c r="D445" s="29"/>
      <c r="E445" s="70"/>
      <c r="F445" s="70"/>
      <c r="G445" s="71"/>
      <c r="H445" s="29"/>
      <c r="I445" s="29"/>
      <c r="J445" s="29"/>
      <c r="K445" s="6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29"/>
      <c r="AH445" s="29"/>
      <c r="AI445" s="29"/>
    </row>
    <row r="446" spans="1:35" ht="14.45" customHeight="1" x14ac:dyDescent="0.25">
      <c r="A446" s="29"/>
      <c r="B446" s="69"/>
      <c r="C446" s="29"/>
      <c r="D446" s="29"/>
      <c r="E446" s="70"/>
      <c r="F446" s="70"/>
      <c r="G446" s="71"/>
      <c r="H446" s="29"/>
      <c r="I446" s="29"/>
      <c r="J446" s="29"/>
      <c r="K446" s="6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29"/>
      <c r="AB446" s="29"/>
      <c r="AC446" s="29"/>
      <c r="AD446" s="29"/>
      <c r="AE446" s="29"/>
      <c r="AF446" s="29"/>
      <c r="AG446" s="29"/>
      <c r="AH446" s="29"/>
      <c r="AI446" s="29"/>
    </row>
    <row r="447" spans="1:35" ht="14.45" customHeight="1" x14ac:dyDescent="0.25">
      <c r="A447" s="29"/>
      <c r="B447" s="69"/>
      <c r="C447" s="29"/>
      <c r="D447" s="29"/>
      <c r="E447" s="70"/>
      <c r="F447" s="70"/>
      <c r="G447" s="71"/>
      <c r="H447" s="29"/>
      <c r="I447" s="29"/>
      <c r="J447" s="29"/>
      <c r="K447" s="6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29"/>
      <c r="AH447" s="29"/>
      <c r="AI447" s="29"/>
    </row>
    <row r="448" spans="1:35" ht="14.45" customHeight="1" x14ac:dyDescent="0.25">
      <c r="A448" s="29"/>
      <c r="B448" s="69"/>
      <c r="C448" s="29"/>
      <c r="D448" s="29"/>
      <c r="E448" s="70"/>
      <c r="F448" s="70"/>
      <c r="G448" s="71"/>
      <c r="H448" s="29"/>
      <c r="I448" s="29"/>
      <c r="J448" s="29"/>
      <c r="K448" s="6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29"/>
      <c r="AH448" s="29"/>
      <c r="AI448" s="29"/>
    </row>
    <row r="449" spans="1:35" ht="14.45" customHeight="1" x14ac:dyDescent="0.25">
      <c r="A449" s="29"/>
      <c r="B449" s="69"/>
      <c r="C449" s="29"/>
      <c r="D449" s="29"/>
      <c r="E449" s="70"/>
      <c r="F449" s="70"/>
      <c r="G449" s="71"/>
      <c r="H449" s="29"/>
      <c r="I449" s="29"/>
      <c r="J449" s="29"/>
      <c r="K449" s="6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29"/>
      <c r="AB449" s="29"/>
      <c r="AC449" s="29"/>
      <c r="AD449" s="29"/>
      <c r="AE449" s="29"/>
      <c r="AF449" s="29"/>
      <c r="AG449" s="29"/>
      <c r="AH449" s="29"/>
      <c r="AI449" s="29"/>
    </row>
    <row r="450" spans="1:35" ht="14.45" customHeight="1" x14ac:dyDescent="0.25">
      <c r="A450" s="29"/>
      <c r="B450" s="69"/>
      <c r="C450" s="29"/>
      <c r="D450" s="29"/>
      <c r="E450" s="70"/>
      <c r="F450" s="70"/>
      <c r="G450" s="71"/>
      <c r="H450" s="29"/>
      <c r="I450" s="29"/>
      <c r="J450" s="29"/>
      <c r="K450" s="6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29"/>
      <c r="AH450" s="29"/>
      <c r="AI450" s="29"/>
    </row>
    <row r="451" spans="1:35" ht="14.45" customHeight="1" x14ac:dyDescent="0.25">
      <c r="A451" s="29"/>
      <c r="B451" s="69"/>
      <c r="C451" s="29"/>
      <c r="D451" s="29"/>
      <c r="E451" s="70"/>
      <c r="F451" s="70"/>
      <c r="G451" s="71"/>
      <c r="H451" s="29"/>
      <c r="I451" s="29"/>
      <c r="J451" s="29"/>
      <c r="K451" s="6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29"/>
      <c r="AH451" s="29"/>
      <c r="AI451" s="29"/>
    </row>
    <row r="452" spans="1:35" ht="14.45" customHeight="1" x14ac:dyDescent="0.25">
      <c r="A452" s="29"/>
      <c r="B452" s="69"/>
      <c r="C452" s="29"/>
      <c r="D452" s="29"/>
      <c r="E452" s="70"/>
      <c r="F452" s="70"/>
      <c r="G452" s="71"/>
      <c r="H452" s="29"/>
      <c r="I452" s="29"/>
      <c r="J452" s="29"/>
      <c r="K452" s="6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29"/>
      <c r="AB452" s="29"/>
      <c r="AC452" s="29"/>
      <c r="AD452" s="29"/>
      <c r="AE452" s="29"/>
      <c r="AF452" s="29"/>
      <c r="AG452" s="29"/>
      <c r="AH452" s="29"/>
      <c r="AI452" s="29"/>
    </row>
    <row r="453" spans="1:35" ht="14.45" customHeight="1" x14ac:dyDescent="0.25">
      <c r="A453" s="29"/>
      <c r="B453" s="69"/>
      <c r="C453" s="29"/>
      <c r="D453" s="29"/>
      <c r="E453" s="70"/>
      <c r="F453" s="70"/>
      <c r="G453" s="71"/>
      <c r="H453" s="29"/>
      <c r="I453" s="29"/>
      <c r="J453" s="29"/>
      <c r="K453" s="6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29"/>
      <c r="AH453" s="29"/>
      <c r="AI453" s="29"/>
    </row>
    <row r="454" spans="1:35" ht="14.45" customHeight="1" x14ac:dyDescent="0.25">
      <c r="A454" s="29"/>
      <c r="B454" s="69"/>
      <c r="C454" s="29"/>
      <c r="D454" s="29"/>
      <c r="E454" s="70"/>
      <c r="F454" s="70"/>
      <c r="G454" s="71"/>
      <c r="H454" s="29"/>
      <c r="I454" s="29"/>
      <c r="J454" s="29"/>
      <c r="K454" s="6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29"/>
      <c r="AH454" s="29"/>
      <c r="AI454" s="29"/>
    </row>
    <row r="455" spans="1:35" ht="14.45" customHeight="1" x14ac:dyDescent="0.25">
      <c r="A455" s="29"/>
      <c r="B455" s="69"/>
      <c r="C455" s="29"/>
      <c r="D455" s="29"/>
      <c r="E455" s="70"/>
      <c r="F455" s="70"/>
      <c r="G455" s="71"/>
      <c r="H455" s="29"/>
      <c r="I455" s="29"/>
      <c r="J455" s="29"/>
      <c r="K455" s="6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29"/>
      <c r="AB455" s="29"/>
      <c r="AC455" s="29"/>
      <c r="AD455" s="29"/>
      <c r="AE455" s="29"/>
      <c r="AF455" s="29"/>
      <c r="AG455" s="29"/>
      <c r="AH455" s="29"/>
      <c r="AI455" s="29"/>
    </row>
    <row r="456" spans="1:35" ht="14.45" customHeight="1" x14ac:dyDescent="0.25">
      <c r="A456" s="29"/>
      <c r="B456" s="69"/>
      <c r="C456" s="29"/>
      <c r="D456" s="29"/>
      <c r="E456" s="70"/>
      <c r="F456" s="70"/>
      <c r="G456" s="71"/>
      <c r="H456" s="29"/>
      <c r="I456" s="29"/>
      <c r="J456" s="29"/>
      <c r="K456" s="6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  <c r="AD456" s="29"/>
      <c r="AE456" s="29"/>
      <c r="AF456" s="29"/>
      <c r="AG456" s="29"/>
      <c r="AH456" s="29"/>
      <c r="AI456" s="29"/>
    </row>
    <row r="457" spans="1:35" ht="14.45" customHeight="1" x14ac:dyDescent="0.25">
      <c r="A457" s="29"/>
      <c r="B457" s="69"/>
      <c r="C457" s="29"/>
      <c r="D457" s="29"/>
      <c r="E457" s="70"/>
      <c r="F457" s="70"/>
      <c r="G457" s="71"/>
      <c r="H457" s="29"/>
      <c r="I457" s="29"/>
      <c r="J457" s="29"/>
      <c r="K457" s="6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29"/>
      <c r="AH457" s="29"/>
      <c r="AI457" s="29"/>
    </row>
    <row r="458" spans="1:35" ht="14.45" customHeight="1" x14ac:dyDescent="0.25">
      <c r="A458" s="29"/>
      <c r="B458" s="69"/>
      <c r="C458" s="29"/>
      <c r="D458" s="29"/>
      <c r="E458" s="70"/>
      <c r="F458" s="70"/>
      <c r="G458" s="71"/>
      <c r="H458" s="29"/>
      <c r="I458" s="29"/>
      <c r="J458" s="29"/>
      <c r="K458" s="6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29"/>
      <c r="AB458" s="29"/>
      <c r="AC458" s="29"/>
      <c r="AD458" s="29"/>
      <c r="AE458" s="29"/>
      <c r="AF458" s="29"/>
      <c r="AG458" s="29"/>
      <c r="AH458" s="29"/>
      <c r="AI458" s="29"/>
    </row>
    <row r="459" spans="1:35" ht="14.45" customHeight="1" x14ac:dyDescent="0.25">
      <c r="A459" s="29"/>
      <c r="B459" s="69"/>
      <c r="C459" s="29"/>
      <c r="D459" s="29"/>
      <c r="E459" s="70"/>
      <c r="F459" s="70"/>
      <c r="G459" s="71"/>
      <c r="H459" s="29"/>
      <c r="I459" s="29"/>
      <c r="J459" s="29"/>
      <c r="K459" s="6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29"/>
      <c r="AH459" s="29"/>
      <c r="AI459" s="29"/>
    </row>
    <row r="460" spans="1:35" ht="14.45" customHeight="1" x14ac:dyDescent="0.25">
      <c r="A460" s="29"/>
      <c r="B460" s="69"/>
      <c r="C460" s="29"/>
      <c r="D460" s="29"/>
      <c r="E460" s="70"/>
      <c r="F460" s="70"/>
      <c r="G460" s="71"/>
      <c r="H460" s="29"/>
      <c r="I460" s="29"/>
      <c r="J460" s="29"/>
      <c r="K460" s="6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29"/>
      <c r="AH460" s="29"/>
      <c r="AI460" s="29"/>
    </row>
    <row r="461" spans="1:35" ht="14.45" customHeight="1" x14ac:dyDescent="0.25">
      <c r="A461" s="29"/>
      <c r="B461" s="69"/>
      <c r="C461" s="29"/>
      <c r="D461" s="29"/>
      <c r="E461" s="70"/>
      <c r="F461" s="70"/>
      <c r="G461" s="71"/>
      <c r="H461" s="29"/>
      <c r="I461" s="29"/>
      <c r="J461" s="29"/>
      <c r="K461" s="6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29"/>
      <c r="AB461" s="29"/>
      <c r="AC461" s="29"/>
      <c r="AD461" s="29"/>
      <c r="AE461" s="29"/>
      <c r="AF461" s="29"/>
      <c r="AG461" s="29"/>
      <c r="AH461" s="29"/>
      <c r="AI461" s="29"/>
    </row>
    <row r="462" spans="1:35" ht="14.45" customHeight="1" x14ac:dyDescent="0.25">
      <c r="A462" s="29"/>
      <c r="B462" s="69"/>
      <c r="C462" s="29"/>
      <c r="D462" s="29"/>
      <c r="E462" s="70"/>
      <c r="F462" s="70"/>
      <c r="G462" s="71"/>
      <c r="H462" s="29"/>
      <c r="I462" s="29"/>
      <c r="J462" s="29"/>
      <c r="K462" s="6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29"/>
      <c r="AH462" s="29"/>
      <c r="AI462" s="29"/>
    </row>
    <row r="463" spans="1:35" ht="14.45" customHeight="1" x14ac:dyDescent="0.25">
      <c r="A463" s="29"/>
      <c r="B463" s="69"/>
      <c r="C463" s="29"/>
      <c r="D463" s="29"/>
      <c r="E463" s="70"/>
      <c r="F463" s="70"/>
      <c r="G463" s="71"/>
      <c r="H463" s="29"/>
      <c r="I463" s="29"/>
      <c r="J463" s="29"/>
      <c r="K463" s="6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29"/>
      <c r="AH463" s="29"/>
      <c r="AI463" s="29"/>
    </row>
    <row r="464" spans="1:35" ht="14.45" customHeight="1" x14ac:dyDescent="0.25">
      <c r="A464" s="29"/>
      <c r="B464" s="69"/>
      <c r="C464" s="29"/>
      <c r="D464" s="29"/>
      <c r="E464" s="70"/>
      <c r="F464" s="70"/>
      <c r="G464" s="71"/>
      <c r="H464" s="29"/>
      <c r="I464" s="29"/>
      <c r="J464" s="29"/>
      <c r="K464" s="6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29"/>
      <c r="AB464" s="29"/>
      <c r="AC464" s="29"/>
      <c r="AD464" s="29"/>
      <c r="AE464" s="29"/>
      <c r="AF464" s="29"/>
      <c r="AG464" s="29"/>
      <c r="AH464" s="29"/>
      <c r="AI464" s="29"/>
    </row>
    <row r="465" spans="1:35" ht="14.45" customHeight="1" x14ac:dyDescent="0.25">
      <c r="A465" s="29"/>
      <c r="B465" s="69"/>
      <c r="C465" s="29"/>
      <c r="D465" s="29"/>
      <c r="E465" s="70"/>
      <c r="F465" s="70"/>
      <c r="G465" s="71"/>
      <c r="H465" s="29"/>
      <c r="I465" s="29"/>
      <c r="J465" s="29"/>
      <c r="K465" s="6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29"/>
      <c r="AH465" s="29"/>
      <c r="AI465" s="29"/>
    </row>
    <row r="466" spans="1:35" ht="14.45" customHeight="1" x14ac:dyDescent="0.25">
      <c r="A466" s="29"/>
      <c r="B466" s="69"/>
      <c r="C466" s="29"/>
      <c r="D466" s="29"/>
      <c r="E466" s="70"/>
      <c r="F466" s="70"/>
      <c r="G466" s="71"/>
      <c r="H466" s="29"/>
      <c r="I466" s="29"/>
      <c r="J466" s="29"/>
      <c r="K466" s="6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29"/>
      <c r="AH466" s="29"/>
      <c r="AI466" s="29"/>
    </row>
    <row r="467" spans="1:35" ht="14.45" customHeight="1" x14ac:dyDescent="0.25">
      <c r="A467" s="29"/>
      <c r="B467" s="69"/>
      <c r="C467" s="29"/>
      <c r="D467" s="29"/>
      <c r="E467" s="70"/>
      <c r="F467" s="70"/>
      <c r="G467" s="71"/>
      <c r="H467" s="29"/>
      <c r="I467" s="29"/>
      <c r="J467" s="29"/>
      <c r="K467" s="6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29"/>
      <c r="AB467" s="29"/>
      <c r="AC467" s="29"/>
      <c r="AD467" s="29"/>
      <c r="AE467" s="29"/>
      <c r="AF467" s="29"/>
      <c r="AG467" s="29"/>
      <c r="AH467" s="29"/>
      <c r="AI467" s="29"/>
    </row>
    <row r="468" spans="1:35" ht="14.45" customHeight="1" x14ac:dyDescent="0.25">
      <c r="A468" s="29"/>
      <c r="B468" s="69"/>
      <c r="C468" s="29"/>
      <c r="D468" s="29"/>
      <c r="E468" s="70"/>
      <c r="F468" s="70"/>
      <c r="G468" s="71"/>
      <c r="H468" s="29"/>
      <c r="I468" s="29"/>
      <c r="J468" s="29"/>
      <c r="K468" s="6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29"/>
      <c r="AH468" s="29"/>
      <c r="AI468" s="29"/>
    </row>
    <row r="469" spans="1:35" ht="14.45" customHeight="1" x14ac:dyDescent="0.25">
      <c r="A469" s="29"/>
      <c r="B469" s="69"/>
      <c r="C469" s="29"/>
      <c r="D469" s="29"/>
      <c r="E469" s="70"/>
      <c r="F469" s="70"/>
      <c r="G469" s="71"/>
      <c r="H469" s="29"/>
      <c r="I469" s="29"/>
      <c r="J469" s="29"/>
      <c r="K469" s="6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29"/>
      <c r="AH469" s="29"/>
      <c r="AI469" s="29"/>
    </row>
    <row r="470" spans="1:35" ht="14.45" customHeight="1" x14ac:dyDescent="0.25">
      <c r="A470" s="29"/>
      <c r="B470" s="69"/>
      <c r="C470" s="29"/>
      <c r="D470" s="29"/>
      <c r="E470" s="70"/>
      <c r="F470" s="70"/>
      <c r="G470" s="71"/>
      <c r="H470" s="29"/>
      <c r="I470" s="29"/>
      <c r="J470" s="29"/>
      <c r="K470" s="6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29"/>
      <c r="AB470" s="29"/>
      <c r="AC470" s="29"/>
      <c r="AD470" s="29"/>
      <c r="AE470" s="29"/>
      <c r="AF470" s="29"/>
      <c r="AG470" s="29"/>
      <c r="AH470" s="29"/>
      <c r="AI470" s="29"/>
    </row>
    <row r="471" spans="1:35" ht="14.45" customHeight="1" x14ac:dyDescent="0.25">
      <c r="A471" s="29"/>
      <c r="B471" s="69"/>
      <c r="C471" s="29"/>
      <c r="D471" s="29"/>
      <c r="E471" s="70"/>
      <c r="F471" s="70"/>
      <c r="G471" s="71"/>
      <c r="H471" s="29"/>
      <c r="I471" s="29"/>
      <c r="J471" s="29"/>
      <c r="K471" s="6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29"/>
      <c r="AH471" s="29"/>
      <c r="AI471" s="29"/>
    </row>
    <row r="472" spans="1:35" ht="14.45" customHeight="1" x14ac:dyDescent="0.25">
      <c r="A472" s="29"/>
      <c r="B472" s="69"/>
      <c r="C472" s="29"/>
      <c r="D472" s="29"/>
      <c r="E472" s="70"/>
      <c r="F472" s="70"/>
      <c r="G472" s="71"/>
      <c r="H472" s="29"/>
      <c r="I472" s="29"/>
      <c r="J472" s="29"/>
      <c r="K472" s="6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29"/>
      <c r="AH472" s="29"/>
      <c r="AI472" s="29"/>
    </row>
    <row r="473" spans="1:35" ht="14.45" customHeight="1" x14ac:dyDescent="0.25">
      <c r="A473" s="29"/>
      <c r="B473" s="69"/>
      <c r="C473" s="29"/>
      <c r="D473" s="29"/>
      <c r="E473" s="70"/>
      <c r="F473" s="70"/>
      <c r="G473" s="71"/>
      <c r="H473" s="29"/>
      <c r="I473" s="29"/>
      <c r="J473" s="29"/>
      <c r="K473" s="6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29"/>
      <c r="AB473" s="29"/>
      <c r="AC473" s="29"/>
      <c r="AD473" s="29"/>
      <c r="AE473" s="29"/>
      <c r="AF473" s="29"/>
      <c r="AG473" s="29"/>
      <c r="AH473" s="29"/>
      <c r="AI473" s="29"/>
    </row>
    <row r="474" spans="1:35" ht="14.45" customHeight="1" x14ac:dyDescent="0.25">
      <c r="A474" s="29"/>
      <c r="B474" s="69"/>
      <c r="C474" s="29"/>
      <c r="D474" s="29"/>
      <c r="E474" s="70"/>
      <c r="F474" s="70"/>
      <c r="G474" s="71"/>
      <c r="H474" s="29"/>
      <c r="I474" s="29"/>
      <c r="J474" s="29"/>
      <c r="K474" s="6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29"/>
      <c r="AH474" s="29"/>
      <c r="AI474" s="29"/>
    </row>
    <row r="475" spans="1:35" ht="14.45" customHeight="1" x14ac:dyDescent="0.25">
      <c r="A475" s="29"/>
      <c r="B475" s="69"/>
      <c r="C475" s="29"/>
      <c r="D475" s="29"/>
      <c r="E475" s="70"/>
      <c r="F475" s="70"/>
      <c r="G475" s="71"/>
      <c r="H475" s="29"/>
      <c r="I475" s="29"/>
      <c r="J475" s="29"/>
      <c r="K475" s="6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</row>
    <row r="476" spans="1:35" ht="14.45" customHeight="1" x14ac:dyDescent="0.25">
      <c r="A476" s="29"/>
      <c r="B476" s="69"/>
      <c r="C476" s="29"/>
      <c r="D476" s="29"/>
      <c r="E476" s="70"/>
      <c r="F476" s="70"/>
      <c r="G476" s="71"/>
      <c r="H476" s="29"/>
      <c r="I476" s="29"/>
      <c r="J476" s="29"/>
      <c r="K476" s="6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29"/>
      <c r="AB476" s="29"/>
      <c r="AC476" s="29"/>
      <c r="AD476" s="29"/>
      <c r="AE476" s="29"/>
      <c r="AF476" s="29"/>
      <c r="AG476" s="29"/>
      <c r="AH476" s="29"/>
      <c r="AI476" s="29"/>
    </row>
    <row r="477" spans="1:35" ht="14.45" customHeight="1" x14ac:dyDescent="0.25">
      <c r="A477" s="29"/>
      <c r="B477" s="69"/>
      <c r="C477" s="29"/>
      <c r="D477" s="29"/>
      <c r="E477" s="70"/>
      <c r="F477" s="70"/>
      <c r="G477" s="71"/>
      <c r="H477" s="29"/>
      <c r="I477" s="29"/>
      <c r="J477" s="29"/>
      <c r="K477" s="6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29"/>
      <c r="AH477" s="29"/>
      <c r="AI477" s="29"/>
    </row>
    <row r="478" spans="1:35" ht="14.45" customHeight="1" x14ac:dyDescent="0.25">
      <c r="A478" s="29"/>
      <c r="B478" s="69"/>
      <c r="C478" s="29"/>
      <c r="D478" s="29"/>
      <c r="E478" s="70"/>
      <c r="F478" s="70"/>
      <c r="G478" s="71"/>
      <c r="H478" s="29"/>
      <c r="I478" s="29"/>
      <c r="J478" s="29"/>
      <c r="K478" s="6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29"/>
      <c r="AH478" s="29"/>
      <c r="AI478" s="29"/>
    </row>
    <row r="479" spans="1:35" ht="14.45" customHeight="1" x14ac:dyDescent="0.25">
      <c r="A479" s="29"/>
      <c r="B479" s="69"/>
      <c r="C479" s="29"/>
      <c r="D479" s="29"/>
      <c r="E479" s="70"/>
      <c r="F479" s="70"/>
      <c r="G479" s="71"/>
      <c r="H479" s="29"/>
      <c r="I479" s="29"/>
      <c r="J479" s="29"/>
      <c r="K479" s="6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29"/>
      <c r="AB479" s="29"/>
      <c r="AC479" s="29"/>
      <c r="AD479" s="29"/>
      <c r="AE479" s="29"/>
      <c r="AF479" s="29"/>
      <c r="AG479" s="29"/>
      <c r="AH479" s="29"/>
      <c r="AI479" s="29"/>
    </row>
    <row r="480" spans="1:35" ht="14.45" customHeight="1" x14ac:dyDescent="0.25">
      <c r="A480" s="29"/>
      <c r="B480" s="69"/>
      <c r="C480" s="29"/>
      <c r="D480" s="29"/>
      <c r="E480" s="70"/>
      <c r="F480" s="70"/>
      <c r="G480" s="71"/>
      <c r="H480" s="29"/>
      <c r="I480" s="29"/>
      <c r="J480" s="29"/>
      <c r="K480" s="6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29"/>
      <c r="AH480" s="29"/>
      <c r="AI480" s="29"/>
    </row>
    <row r="481" spans="1:35" ht="14.45" customHeight="1" x14ac:dyDescent="0.25">
      <c r="A481" s="29"/>
      <c r="B481" s="69"/>
      <c r="C481" s="29"/>
      <c r="D481" s="29"/>
      <c r="E481" s="70"/>
      <c r="F481" s="70"/>
      <c r="G481" s="71"/>
      <c r="H481" s="29"/>
      <c r="I481" s="29"/>
      <c r="J481" s="29"/>
      <c r="K481" s="6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29"/>
      <c r="AH481" s="29"/>
      <c r="AI481" s="29"/>
    </row>
    <row r="482" spans="1:35" ht="14.45" customHeight="1" x14ac:dyDescent="0.25">
      <c r="A482" s="29"/>
      <c r="B482" s="69"/>
      <c r="C482" s="29"/>
      <c r="D482" s="29"/>
      <c r="E482" s="70"/>
      <c r="F482" s="70"/>
      <c r="G482" s="71"/>
      <c r="H482" s="29"/>
      <c r="I482" s="29"/>
      <c r="J482" s="29"/>
      <c r="K482" s="6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29"/>
      <c r="AB482" s="29"/>
      <c r="AC482" s="29"/>
      <c r="AD482" s="29"/>
      <c r="AE482" s="29"/>
      <c r="AF482" s="29"/>
      <c r="AG482" s="29"/>
      <c r="AH482" s="29"/>
      <c r="AI482" s="29"/>
    </row>
    <row r="483" spans="1:35" ht="14.45" customHeight="1" x14ac:dyDescent="0.25">
      <c r="A483" s="29"/>
      <c r="B483" s="69"/>
      <c r="C483" s="29"/>
      <c r="D483" s="29"/>
      <c r="E483" s="70"/>
      <c r="F483" s="70"/>
      <c r="G483" s="71"/>
      <c r="H483" s="29"/>
      <c r="I483" s="29"/>
      <c r="J483" s="29"/>
      <c r="K483" s="6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29"/>
      <c r="AH483" s="29"/>
      <c r="AI483" s="29"/>
    </row>
    <row r="484" spans="1:35" ht="14.45" customHeight="1" x14ac:dyDescent="0.25">
      <c r="A484" s="29"/>
      <c r="B484" s="69"/>
      <c r="C484" s="29"/>
      <c r="D484" s="29"/>
      <c r="E484" s="70"/>
      <c r="F484" s="70"/>
      <c r="G484" s="71"/>
      <c r="H484" s="29"/>
      <c r="I484" s="29"/>
      <c r="J484" s="29"/>
      <c r="K484" s="6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29"/>
      <c r="AH484" s="29"/>
      <c r="AI484" s="29"/>
    </row>
    <row r="485" spans="1:35" ht="14.45" customHeight="1" x14ac:dyDescent="0.25">
      <c r="A485" s="29"/>
      <c r="B485" s="69"/>
      <c r="C485" s="29"/>
      <c r="D485" s="29"/>
      <c r="E485" s="70"/>
      <c r="F485" s="70"/>
      <c r="G485" s="71"/>
      <c r="H485" s="29"/>
      <c r="I485" s="29"/>
      <c r="J485" s="29"/>
      <c r="K485" s="6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29"/>
      <c r="AB485" s="29"/>
      <c r="AC485" s="29"/>
      <c r="AD485" s="29"/>
      <c r="AE485" s="29"/>
      <c r="AF485" s="29"/>
      <c r="AG485" s="29"/>
      <c r="AH485" s="29"/>
      <c r="AI485" s="29"/>
    </row>
    <row r="486" spans="1:35" ht="14.45" customHeight="1" x14ac:dyDescent="0.25">
      <c r="A486" s="29"/>
      <c r="B486" s="69"/>
      <c r="C486" s="29"/>
      <c r="D486" s="29"/>
      <c r="E486" s="70"/>
      <c r="F486" s="70"/>
      <c r="G486" s="71"/>
      <c r="H486" s="29"/>
      <c r="I486" s="29"/>
      <c r="J486" s="29"/>
      <c r="K486" s="6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29"/>
      <c r="AH486" s="29"/>
      <c r="AI486" s="29"/>
    </row>
    <row r="487" spans="1:35" ht="14.45" customHeight="1" x14ac:dyDescent="0.25">
      <c r="A487" s="29"/>
      <c r="B487" s="69"/>
      <c r="C487" s="29"/>
      <c r="D487" s="29"/>
      <c r="E487" s="70"/>
      <c r="F487" s="70"/>
      <c r="G487" s="71"/>
      <c r="H487" s="29"/>
      <c r="I487" s="29"/>
      <c r="J487" s="29"/>
      <c r="K487" s="6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29"/>
      <c r="AH487" s="29"/>
      <c r="AI487" s="29"/>
    </row>
    <row r="488" spans="1:35" ht="14.45" customHeight="1" x14ac:dyDescent="0.25">
      <c r="A488" s="29"/>
      <c r="B488" s="69"/>
      <c r="C488" s="29"/>
      <c r="D488" s="29"/>
      <c r="E488" s="70"/>
      <c r="F488" s="70"/>
      <c r="G488" s="71"/>
      <c r="H488" s="29"/>
      <c r="I488" s="29"/>
      <c r="J488" s="29"/>
      <c r="K488" s="6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29"/>
      <c r="AB488" s="29"/>
      <c r="AC488" s="29"/>
      <c r="AD488" s="29"/>
      <c r="AE488" s="29"/>
      <c r="AF488" s="29"/>
      <c r="AG488" s="29"/>
      <c r="AH488" s="29"/>
      <c r="AI488" s="29"/>
    </row>
    <row r="489" spans="1:35" ht="14.45" customHeight="1" x14ac:dyDescent="0.25">
      <c r="A489" s="29"/>
      <c r="B489" s="69"/>
      <c r="C489" s="29"/>
      <c r="D489" s="29"/>
      <c r="E489" s="70"/>
      <c r="F489" s="70"/>
      <c r="G489" s="71"/>
      <c r="H489" s="29"/>
      <c r="I489" s="29"/>
      <c r="J489" s="29"/>
      <c r="K489" s="6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29"/>
      <c r="AH489" s="29"/>
      <c r="AI489" s="29"/>
    </row>
    <row r="490" spans="1:35" ht="14.45" customHeight="1" x14ac:dyDescent="0.25">
      <c r="A490" s="29"/>
      <c r="B490" s="69"/>
      <c r="C490" s="29"/>
      <c r="D490" s="29"/>
      <c r="E490" s="70"/>
      <c r="F490" s="70"/>
      <c r="G490" s="71"/>
      <c r="H490" s="29"/>
      <c r="I490" s="29"/>
      <c r="J490" s="29"/>
      <c r="K490" s="6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29"/>
      <c r="AH490" s="29"/>
      <c r="AI490" s="29"/>
    </row>
    <row r="491" spans="1:35" ht="14.45" customHeight="1" x14ac:dyDescent="0.25">
      <c r="A491" s="29"/>
      <c r="B491" s="69"/>
      <c r="C491" s="29"/>
      <c r="D491" s="29"/>
      <c r="E491" s="70"/>
      <c r="F491" s="70"/>
      <c r="G491" s="71"/>
      <c r="H491" s="29"/>
      <c r="I491" s="29"/>
      <c r="J491" s="29"/>
      <c r="K491" s="6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29"/>
      <c r="AB491" s="29"/>
      <c r="AC491" s="29"/>
      <c r="AD491" s="29"/>
      <c r="AE491" s="29"/>
      <c r="AF491" s="29"/>
      <c r="AG491" s="29"/>
      <c r="AH491" s="29"/>
      <c r="AI491" s="29"/>
    </row>
    <row r="492" spans="1:35" ht="14.45" customHeight="1" x14ac:dyDescent="0.25">
      <c r="A492" s="29"/>
      <c r="B492" s="69"/>
      <c r="C492" s="29"/>
      <c r="D492" s="29"/>
      <c r="E492" s="70"/>
      <c r="F492" s="70"/>
      <c r="G492" s="71"/>
      <c r="H492" s="29"/>
      <c r="I492" s="29"/>
      <c r="J492" s="29"/>
      <c r="K492" s="6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29"/>
      <c r="AH492" s="29"/>
      <c r="AI492" s="29"/>
    </row>
    <row r="493" spans="1:35" ht="14.45" customHeight="1" x14ac:dyDescent="0.25">
      <c r="A493" s="29"/>
      <c r="B493" s="69"/>
      <c r="C493" s="29"/>
      <c r="D493" s="29"/>
      <c r="E493" s="70"/>
      <c r="F493" s="70"/>
      <c r="G493" s="71"/>
      <c r="H493" s="29"/>
      <c r="I493" s="29"/>
      <c r="J493" s="29"/>
      <c r="K493" s="6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29"/>
      <c r="AH493" s="29"/>
      <c r="AI493" s="29"/>
    </row>
    <row r="494" spans="1:35" ht="14.45" customHeight="1" x14ac:dyDescent="0.25">
      <c r="A494" s="29"/>
      <c r="B494" s="69"/>
      <c r="C494" s="29"/>
      <c r="D494" s="29"/>
      <c r="E494" s="70"/>
      <c r="F494" s="70"/>
      <c r="G494" s="71"/>
      <c r="H494" s="29"/>
      <c r="I494" s="29"/>
      <c r="J494" s="29"/>
      <c r="K494" s="6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29"/>
      <c r="AB494" s="29"/>
      <c r="AC494" s="29"/>
      <c r="AD494" s="29"/>
      <c r="AE494" s="29"/>
      <c r="AF494" s="29"/>
      <c r="AG494" s="29"/>
      <c r="AH494" s="29"/>
      <c r="AI494" s="29"/>
    </row>
    <row r="495" spans="1:35" ht="14.45" customHeight="1" x14ac:dyDescent="0.25">
      <c r="A495" s="29"/>
      <c r="B495" s="69"/>
      <c r="C495" s="29"/>
      <c r="D495" s="29"/>
      <c r="E495" s="70"/>
      <c r="F495" s="70"/>
      <c r="G495" s="71"/>
      <c r="H495" s="29"/>
      <c r="I495" s="29"/>
      <c r="J495" s="29"/>
      <c r="K495" s="6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29"/>
      <c r="AH495" s="29"/>
      <c r="AI495" s="29"/>
    </row>
    <row r="496" spans="1:35" ht="14.45" customHeight="1" x14ac:dyDescent="0.25">
      <c r="A496" s="29"/>
      <c r="B496" s="69"/>
      <c r="C496" s="29"/>
      <c r="D496" s="29"/>
      <c r="E496" s="70"/>
      <c r="F496" s="70"/>
      <c r="G496" s="71"/>
      <c r="H496" s="29"/>
      <c r="I496" s="29"/>
      <c r="J496" s="29"/>
      <c r="K496" s="6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29"/>
      <c r="AH496" s="29"/>
      <c r="AI496" s="29"/>
    </row>
    <row r="497" spans="1:35" ht="14.45" customHeight="1" x14ac:dyDescent="0.25">
      <c r="A497" s="29"/>
      <c r="B497" s="69"/>
      <c r="C497" s="29"/>
      <c r="D497" s="29"/>
      <c r="E497" s="70"/>
      <c r="F497" s="70"/>
      <c r="G497" s="71"/>
      <c r="H497" s="29"/>
      <c r="I497" s="29"/>
      <c r="J497" s="29"/>
      <c r="K497" s="6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29"/>
      <c r="AB497" s="29"/>
      <c r="AC497" s="29"/>
      <c r="AD497" s="29"/>
      <c r="AE497" s="29"/>
      <c r="AF497" s="29"/>
      <c r="AG497" s="29"/>
      <c r="AH497" s="29"/>
      <c r="AI497" s="29"/>
    </row>
    <row r="498" spans="1:35" ht="14.45" customHeight="1" x14ac:dyDescent="0.25">
      <c r="A498" s="29"/>
      <c r="B498" s="69"/>
      <c r="C498" s="29"/>
      <c r="D498" s="29"/>
      <c r="E498" s="70"/>
      <c r="F498" s="70"/>
      <c r="G498" s="71"/>
      <c r="H498" s="29"/>
      <c r="I498" s="29"/>
      <c r="J498" s="29"/>
      <c r="K498" s="6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29"/>
      <c r="AH498" s="29"/>
      <c r="AI498" s="29"/>
    </row>
    <row r="499" spans="1:35" ht="14.45" customHeight="1" x14ac:dyDescent="0.25">
      <c r="A499" s="29"/>
      <c r="B499" s="69"/>
      <c r="C499" s="29"/>
      <c r="D499" s="29"/>
      <c r="E499" s="70"/>
      <c r="F499" s="70"/>
      <c r="G499" s="71"/>
      <c r="H499" s="29"/>
      <c r="I499" s="29"/>
      <c r="J499" s="29"/>
      <c r="K499" s="6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29"/>
      <c r="AH499" s="29"/>
      <c r="AI499" s="29"/>
    </row>
    <row r="500" spans="1:35" ht="14.45" customHeight="1" x14ac:dyDescent="0.25">
      <c r="A500" s="29"/>
      <c r="B500" s="69"/>
      <c r="C500" s="29"/>
      <c r="D500" s="29"/>
      <c r="E500" s="70"/>
      <c r="F500" s="70"/>
      <c r="G500" s="71"/>
      <c r="H500" s="29"/>
      <c r="I500" s="29"/>
      <c r="J500" s="29"/>
      <c r="K500" s="6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29"/>
      <c r="AB500" s="29"/>
      <c r="AC500" s="29"/>
      <c r="AD500" s="29"/>
      <c r="AE500" s="29"/>
      <c r="AF500" s="29"/>
      <c r="AG500" s="29"/>
      <c r="AH500" s="29"/>
      <c r="AI500" s="29"/>
    </row>
  </sheetData>
  <mergeCells count="3">
    <mergeCell ref="L1:R1"/>
    <mergeCell ref="T1:Z1"/>
    <mergeCell ref="AB1:AH1"/>
  </mergeCells>
  <conditionalFormatting sqref="L1:L1048576">
    <cfRule type="cellIs" dxfId="29" priority="31" operator="equal">
      <formula>"Refer"</formula>
    </cfRule>
    <cfRule type="cellIs" dxfId="28" priority="32" operator="equal">
      <formula>"Pass"</formula>
    </cfRule>
  </conditionalFormatting>
  <conditionalFormatting sqref="N3:N1048576">
    <cfRule type="cellIs" dxfId="27" priority="27" operator="equal">
      <formula>"Fail"</formula>
    </cfRule>
    <cfRule type="cellIs" dxfId="26" priority="28" operator="equal">
      <formula>"Pass"</formula>
    </cfRule>
  </conditionalFormatting>
  <conditionalFormatting sqref="P3:P1048576">
    <cfRule type="cellIs" dxfId="25" priority="25" operator="equal">
      <formula>"Fail"</formula>
    </cfRule>
    <cfRule type="cellIs" dxfId="24" priority="26" operator="equal">
      <formula>"Pass"</formula>
    </cfRule>
  </conditionalFormatting>
  <conditionalFormatting sqref="N2:N1048576">
    <cfRule type="cellIs" dxfId="23" priority="23" operator="equal">
      <formula>"Fail"</formula>
    </cfRule>
    <cfRule type="cellIs" dxfId="22" priority="24" operator="equal">
      <formula>"Pass"</formula>
    </cfRule>
  </conditionalFormatting>
  <conditionalFormatting sqref="P2:P1048576">
    <cfRule type="cellIs" dxfId="21" priority="21" operator="equal">
      <formula>"Pass"</formula>
    </cfRule>
    <cfRule type="cellIs" dxfId="20" priority="22" operator="equal">
      <formula>"Fail"</formula>
    </cfRule>
  </conditionalFormatting>
  <conditionalFormatting sqref="T1:T1048576">
    <cfRule type="cellIs" dxfId="19" priority="19" operator="equal">
      <formula>"Refer"</formula>
    </cfRule>
    <cfRule type="cellIs" dxfId="18" priority="20" operator="equal">
      <formula>"Pass"</formula>
    </cfRule>
  </conditionalFormatting>
  <conditionalFormatting sqref="V3:V1048576">
    <cfRule type="cellIs" dxfId="17" priority="17" operator="equal">
      <formula>"Fail"</formula>
    </cfRule>
    <cfRule type="cellIs" dxfId="16" priority="18" operator="equal">
      <formula>"Pass"</formula>
    </cfRule>
  </conditionalFormatting>
  <conditionalFormatting sqref="X3:X1048576">
    <cfRule type="cellIs" dxfId="15" priority="15" operator="equal">
      <formula>"Fail"</formula>
    </cfRule>
    <cfRule type="cellIs" dxfId="14" priority="16" operator="equal">
      <formula>"Pass"</formula>
    </cfRule>
  </conditionalFormatting>
  <conditionalFormatting sqref="V2:V1048576">
    <cfRule type="cellIs" dxfId="13" priority="13" operator="equal">
      <formula>"Fail"</formula>
    </cfRule>
    <cfRule type="cellIs" dxfId="12" priority="14" operator="equal">
      <formula>"Pass"</formula>
    </cfRule>
  </conditionalFormatting>
  <conditionalFormatting sqref="X2:X1048576">
    <cfRule type="cellIs" dxfId="11" priority="11" operator="equal">
      <formula>"Pass"</formula>
    </cfRule>
    <cfRule type="cellIs" dxfId="10" priority="12" operator="equal">
      <formula>"Fail"</formula>
    </cfRule>
  </conditionalFormatting>
  <conditionalFormatting sqref="AB1:AB1048576">
    <cfRule type="cellIs" dxfId="9" priority="9" operator="equal">
      <formula>"Refer"</formula>
    </cfRule>
    <cfRule type="cellIs" dxfId="8" priority="10" operator="equal">
      <formula>"Pass"</formula>
    </cfRule>
  </conditionalFormatting>
  <conditionalFormatting sqref="AD3:AD1048576">
    <cfRule type="cellIs" dxfId="7" priority="7" operator="equal">
      <formula>"Fail"</formula>
    </cfRule>
    <cfRule type="cellIs" dxfId="6" priority="8" operator="equal">
      <formula>"Pass"</formula>
    </cfRule>
  </conditionalFormatting>
  <conditionalFormatting sqref="AF3:AF1048576">
    <cfRule type="cellIs" dxfId="5" priority="5" operator="equal">
      <formula>"Fail"</formula>
    </cfRule>
    <cfRule type="cellIs" dxfId="4" priority="6" operator="equal">
      <formula>"Pass"</formula>
    </cfRule>
  </conditionalFormatting>
  <conditionalFormatting sqref="AD2:AD1048576">
    <cfRule type="cellIs" dxfId="3" priority="3" operator="equal">
      <formula>"Fail"</formula>
    </cfRule>
    <cfRule type="cellIs" dxfId="2" priority="4" operator="equal">
      <formula>"Pass"</formula>
    </cfRule>
  </conditionalFormatting>
  <conditionalFormatting sqref="AF2:AF1048576">
    <cfRule type="cellIs" dxfId="1" priority="1" operator="equal">
      <formula>"Pass"</formula>
    </cfRule>
    <cfRule type="cellIs" dxfId="0" priority="2" operator="equal">
      <formula>"Fail"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7CE31-C6A5-4618-9A72-FF7C097F0B78}">
  <sheetPr codeName="Sheet3"/>
  <dimension ref="A1:C6"/>
  <sheetViews>
    <sheetView workbookViewId="0">
      <selection activeCell="C33" sqref="C33"/>
    </sheetView>
  </sheetViews>
  <sheetFormatPr defaultRowHeight="15" x14ac:dyDescent="0.25"/>
  <cols>
    <col min="1" max="1" width="13" bestFit="1" customWidth="1"/>
    <col min="2" max="2" width="21.5703125" bestFit="1" customWidth="1"/>
    <col min="3" max="3" width="25" bestFit="1" customWidth="1"/>
  </cols>
  <sheetData>
    <row r="1" spans="1:3" x14ac:dyDescent="0.25">
      <c r="A1" s="1" t="s">
        <v>3</v>
      </c>
      <c r="B1" t="s">
        <v>21</v>
      </c>
    </row>
    <row r="2" spans="1:3" x14ac:dyDescent="0.25">
      <c r="A2" s="1" t="s">
        <v>13</v>
      </c>
      <c r="B2" t="s">
        <v>21</v>
      </c>
    </row>
    <row r="4" spans="1:3" x14ac:dyDescent="0.25">
      <c r="A4" s="1" t="s">
        <v>17</v>
      </c>
      <c r="B4" t="s">
        <v>19</v>
      </c>
      <c r="C4" t="s">
        <v>20</v>
      </c>
    </row>
    <row r="5" spans="1:3" x14ac:dyDescent="0.25">
      <c r="A5" s="2" t="s">
        <v>15</v>
      </c>
      <c r="B5">
        <v>1</v>
      </c>
      <c r="C5">
        <v>1001</v>
      </c>
    </row>
    <row r="6" spans="1:3" x14ac:dyDescent="0.25">
      <c r="A6" s="2" t="s">
        <v>18</v>
      </c>
      <c r="B6">
        <v>1</v>
      </c>
      <c r="C6">
        <v>1001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255CD417239143A928991743D68F2B" ma:contentTypeVersion="21" ma:contentTypeDescription="Create a new document." ma:contentTypeScope="" ma:versionID="4f4ffa57550626324b6175705fb2c91e">
  <xsd:schema xmlns:xsd="http://www.w3.org/2001/XMLSchema" xmlns:xs="http://www.w3.org/2001/XMLSchema" xmlns:p="http://schemas.microsoft.com/office/2006/metadata/properties" xmlns:ns1="http://schemas.microsoft.com/sharepoint/v3" xmlns:ns2="9be1c10f-8eeb-4f70-80d6-3641560a866f" xmlns:ns3="05b0a430-5a8e-4e32-b7ca-2d9c99353113" targetNamespace="http://schemas.microsoft.com/office/2006/metadata/properties" ma:root="true" ma:fieldsID="4394f02774ac06a0cc47ee2a7e53f2b2" ns1:_="" ns2:_="" ns3:_="">
    <xsd:import namespace="http://schemas.microsoft.com/sharepoint/v3"/>
    <xsd:import namespace="9be1c10f-8eeb-4f70-80d6-3641560a866f"/>
    <xsd:import namespace="05b0a430-5a8e-4e32-b7ca-2d9c993531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7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8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e1c10f-8eeb-4f70-80d6-3641560a8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4ec31677-fd3f-47a9-8323-4ac95b50372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b0a430-5a8e-4e32-b7ca-2d9c99353113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70c3ad4b-1cc5-4ffa-900f-d43c72b7cd2a}" ma:internalName="TaxCatchAll" ma:showField="CatchAllData" ma:web="05b0a430-5a8e-4e32-b7ca-2d9c9935311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lcf76f155ced4ddcb4097134ff3c332f xmlns="9be1c10f-8eeb-4f70-80d6-3641560a866f">
      <Terms xmlns="http://schemas.microsoft.com/office/infopath/2007/PartnerControls"/>
    </lcf76f155ced4ddcb4097134ff3c332f>
    <TaxCatchAll xmlns="05b0a430-5a8e-4e32-b7ca-2d9c9935311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F95491D-6126-49F9-9635-AEA2DB3A2B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9be1c10f-8eeb-4f70-80d6-3641560a866f"/>
    <ds:schemaRef ds:uri="05b0a430-5a8e-4e32-b7ca-2d9c993531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9D445E7-8CC5-4ED6-AF72-ED52C2E98FF8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9be1c10f-8eeb-4f70-80d6-3641560a866f"/>
    <ds:schemaRef ds:uri="05b0a430-5a8e-4e32-b7ca-2d9c99353113"/>
  </ds:schemaRefs>
</ds:datastoreItem>
</file>

<file path=customXml/itemProps3.xml><?xml version="1.0" encoding="utf-8"?>
<ds:datastoreItem xmlns:ds="http://schemas.openxmlformats.org/officeDocument/2006/customXml" ds:itemID="{9B30C2DF-FF3D-473D-99D7-E719DC9CF1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Settings</vt:lpstr>
      <vt:lpstr>Dashboard</vt:lpstr>
      <vt:lpstr>Calendar</vt:lpstr>
      <vt:lpstr>Sheet1</vt:lpstr>
      <vt:lpstr>Training_Log</vt:lpstr>
      <vt:lpstr>Trainer workload report</vt:lpstr>
      <vt:lpstr>Calendar!DayToStart</vt:lpstr>
      <vt:lpstr>Calendar!MonthToDisplay</vt:lpstr>
      <vt:lpstr>Calendar!Print_Titles</vt:lpstr>
      <vt:lpstr>Calendar!YearToDisplay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Whitter</dc:creator>
  <cp:lastModifiedBy>Michael Vessa</cp:lastModifiedBy>
  <dcterms:created xsi:type="dcterms:W3CDTF">2025-12-18T15:10:00Z</dcterms:created>
  <dcterms:modified xsi:type="dcterms:W3CDTF">2026-01-13T14:55:43Z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0x010100D7255CD417239143A928991743D68F2B</vt:lpwstr>
  </property>
  <property fmtid="{D5CDD505-2E9C-101B-9397-08002B2CF9AE}" pid="3" name="MediaServiceImageTags">
    <vt:lpwstr/>
  </property>
</Properties>
</file>